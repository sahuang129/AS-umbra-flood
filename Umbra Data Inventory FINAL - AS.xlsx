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4"/>
    <sheet state="visible" name="Event List" sheetId="2" r:id="rId5"/>
    <sheet state="visible" name="Tafuna Plain" sheetId="3" r:id="rId6"/>
    <sheet state="visible" name="Central Tafuna Plain" sheetId="4" r:id="rId7"/>
    <sheet state="visible" name="Pago Pago" sheetId="5" r:id="rId8"/>
    <sheet state="visible" name="Aunuu" sheetId="6" r:id="rId9"/>
    <sheet state="visible" name="Leone" sheetId="7" r:id="rId10"/>
    <sheet state="visible" name="Ofu" sheetId="8" r:id="rId11"/>
    <sheet state="visible" name="Olosega" sheetId="9" r:id="rId12"/>
    <sheet state="visible" name="Tau (long dwell)" sheetId="10" r:id="rId13"/>
    <sheet state="visible" name="Upolu" sheetId="11" r:id="rId14"/>
    <sheet state="visible" name="All Tasks" sheetId="12" r:id="rId15"/>
  </sheets>
  <definedNames/>
  <calcPr/>
  <extLst>
    <ext uri="GoogleSheetsCustomDataVersion2">
      <go:sheetsCustomData xmlns:go="http://customooxmlschemas.google.com/" r:id="rId16" roundtripDataChecksum="XyNc0ujxUvV1uxrlC0MDuVelsWu1hm9igyjYVW5gsgw="/>
    </ext>
  </extLst>
</workbook>
</file>

<file path=xl/sharedStrings.xml><?xml version="1.0" encoding="utf-8"?>
<sst xmlns="http://schemas.openxmlformats.org/spreadsheetml/2006/main" count="2330" uniqueCount="754">
  <si>
    <t>This spreadhseet provides an inventory of all Umbra data acquired for NASA grant 23-CNVOE23-0007, from October 2024 to July 2025.</t>
  </si>
  <si>
    <t>All data are archived on the NASA CSDA Explorer Portal and can be accessed after registering for an account.</t>
  </si>
  <si>
    <t>Notes</t>
  </si>
  <si>
    <t>- "Event list" tab lists high precipitation/high water events during the study period.</t>
  </si>
  <si>
    <r>
      <rPr>
        <rFont val="Arial"/>
      </rPr>
      <t xml:space="preserve">- Pago Pago TG heights are obtained from </t>
    </r>
    <r>
      <rPr>
        <rFont val="Arial"/>
        <color rgb="FF1155CC"/>
        <u/>
      </rPr>
      <t>https://tidesandcurrents.noaa.gov/inundationdb/inundation.html?id=1770000&amp;units=standard&amp;bdate=20241001&amp;edate=20250328&amp;timezone=GMT&amp;datum=MHHW&amp;interval=h&amp;action=</t>
    </r>
  </si>
  <si>
    <t>**Rows are highlighted if Pago Pago TG level is greater than MHHW.</t>
  </si>
  <si>
    <t>- Other TG heights are obtained from https://www.ioc-sealevelmonitoring.org/station.php?code=aunuu, https://www.ioc-sealevelmonitoring.org/station.php?code=auasi, https://www.ioc-sealevelmonitoring.org/station.php?code=ofuas</t>
  </si>
  <si>
    <t>- Precipitation data are obtained from https://www.hawaii.edu/climate-data-portal/hawaii-mesonet-data/#/american-samoa</t>
  </si>
  <si>
    <t>Date</t>
  </si>
  <si>
    <t>Event</t>
  </si>
  <si>
    <t>High tide, some possible flooding</t>
  </si>
  <si>
    <t>https://tidesandcurrents.noaa.gov/inundationdb/inundation.html?id=1770000&amp;units=standard&amp;bdate=20241008&amp;edate=20250116&amp;timezone=LST/LDT&amp;datum=MHHW&amp;interval=h&amp;action=</t>
  </si>
  <si>
    <t>10/17/24 to 10/18/24</t>
  </si>
  <si>
    <t>Flood Watch from Pago Pago NWS site</t>
  </si>
  <si>
    <t>Upolu oil spill (Independent Nation of Samoa)</t>
  </si>
  <si>
    <t>10/23/24 to 10/24/24</t>
  </si>
  <si>
    <t>11/4/24 to 11/5/24</t>
  </si>
  <si>
    <t>Flash Flood Warning from Pago Pago NWS site</t>
  </si>
  <si>
    <t>Listed as a Flash Flood Event in Vaitogi with 5k in property dmage</t>
  </si>
  <si>
    <t>https://www.ncdc.noaa.gov/stormevents/listevents.jsp?eventType=ALL&amp;beginDate_mm=01&amp;beginDate_dd=01&amp;beginDate_yyyy=2024&amp;endDate_mm=12&amp;endDate_dd=30&amp;endDate_yyyy=2024&amp;county=ALL&amp;hailfilter=0.00&amp;tornfilter=0&amp;windfilter=000&amp;sort=DT&amp;submitbutton=Search&amp;statefips=97%2CAMERICAN+SAMOA#</t>
  </si>
  <si>
    <t>Listed as a heavy rain event in Pago Pago with 5k in property damage</t>
  </si>
  <si>
    <t>11/16/24 to 11/17/24</t>
  </si>
  <si>
    <t>Flash Flood Warning / Flood Watch from Pago Pago NWS site</t>
  </si>
  <si>
    <t>11/20/24 to 11/22/24</t>
  </si>
  <si>
    <t>High tide</t>
  </si>
  <si>
    <t>12/17/24 (Tue) to 12/19/24 (Thu)</t>
  </si>
  <si>
    <t>Flood Watch</t>
  </si>
  <si>
    <t>1/6/25 (Mon) to 1/10/25 (Fri) 9 PM</t>
  </si>
  <si>
    <t>Flash Flood Warning / Flood Watch from Pago Pago NWS site [Large precipitation event]</t>
  </si>
  <si>
    <t>2/14/25 4-7 AM</t>
  </si>
  <si>
    <t>Flood Advisory</t>
  </si>
  <si>
    <t>2/17/25 (Mon) to 2/21/25 (Fri)</t>
  </si>
  <si>
    <t>3/20/25 to 3/22/25</t>
  </si>
  <si>
    <t>3/26/25-3/31/25</t>
  </si>
  <si>
    <t>https://tidesandcurrents.noaa.gov/inundationdb/inundation.html?id=1770000&amp;units=standard&amp;bdate=20250226&amp;edate=20250410&amp;timezone=GMT&amp;datum=MHHW&amp;interval=h&amp;action=</t>
  </si>
  <si>
    <t>Flood warning</t>
  </si>
  <si>
    <t>4/27/25-4/29/25</t>
  </si>
  <si>
    <t>5/5/25-5/10/25</t>
  </si>
  <si>
    <t>5/22/25-5/25/25</t>
  </si>
  <si>
    <t>Flash flood warning</t>
  </si>
  <si>
    <t>5/24/25-5/28/25</t>
  </si>
  <si>
    <t>6/23/25-6/26/25</t>
  </si>
  <si>
    <t>6/25/25-6/27/25</t>
  </si>
  <si>
    <t>Capture Date &amp; Time (UTC)</t>
  </si>
  <si>
    <t>Local Date &amp; Time</t>
  </si>
  <si>
    <t>id</t>
  </si>
  <si>
    <t>latitude</t>
  </si>
  <si>
    <t>longitude</t>
  </si>
  <si>
    <t>Pass Dir</t>
  </si>
  <si>
    <t>Obs Dir</t>
  </si>
  <si>
    <t>Inc Angle</t>
  </si>
  <si>
    <t>Tasked Pol</t>
  </si>
  <si>
    <t>Metadata Pol</t>
  </si>
  <si>
    <t>Clear Img</t>
  </si>
  <si>
    <t>Pago Pago TG Ht (ft, Closest Hour)</t>
  </si>
  <si>
    <t>Median (entire period)</t>
  </si>
  <si>
    <t>Pago Pago - median (ft)</t>
  </si>
  <si>
    <t>In meters</t>
  </si>
  <si>
    <t>Vaipito Rainfall (in, closest 5 min)</t>
  </si>
  <si>
    <t>Pago Pago TG</t>
  </si>
  <si>
    <t>N/A; Background (post-flood watch)</t>
  </si>
  <si>
    <t>7a70e2d3-3a22-4b0f-a8fe-76830edae82d</t>
  </si>
  <si>
    <t>Desc</t>
  </si>
  <si>
    <t>Right</t>
  </si>
  <si>
    <t>VV</t>
  </si>
  <si>
    <t>HH</t>
  </si>
  <si>
    <t>Major flooding: 1 ft</t>
  </si>
  <si>
    <t>54c6cf93-1c6b-407b-967a-740e5eaab11f</t>
  </si>
  <si>
    <t>Asc</t>
  </si>
  <si>
    <t>Left</t>
  </si>
  <si>
    <t>Moderate flooding: 0.8 ft</t>
  </si>
  <si>
    <t>Flash Flood Warning / Flood Watch</t>
  </si>
  <si>
    <t>d30a1d20-e4d1-4ba5-a1d5-e29eeb0882cf</t>
  </si>
  <si>
    <t>Minor flooding: 0.6 ft</t>
  </si>
  <si>
    <t>d4e2ab96-26aa-4da4-acca-c16dadd5afc9</t>
  </si>
  <si>
    <t>x</t>
  </si>
  <si>
    <t>45b57e19-27f3-4898-8595-94818e500cf5</t>
  </si>
  <si>
    <t>N/A; Background (pre-flood watch)</t>
  </si>
  <si>
    <t>a6ec0787-15a3-410e-af0d-68d6daa8e22f</t>
  </si>
  <si>
    <t>runway signal</t>
  </si>
  <si>
    <t>8e0b3f45-9d23-406a-9d03-18817efae0cd</t>
  </si>
  <si>
    <t>610541c3-e958-4b35-8289-028319ebea79</t>
  </si>
  <si>
    <t>N/A; Background (pre-high tide)</t>
  </si>
  <si>
    <t>0eeb6ae5-d305-4711-b983-d7934410c7eb</t>
  </si>
  <si>
    <t>4c919cbc-421d-4bc5-b0bd-6f2445b5b059</t>
  </si>
  <si>
    <t>acf2eeac-d572-40c6-b297-a11c9967de13</t>
  </si>
  <si>
    <t>08eadfc4-9bfa-40ca-bf8a-b4508c28b4d5</t>
  </si>
  <si>
    <t>a748c1d5-5891-4021-9d6b-02de49a2f3c8</t>
  </si>
  <si>
    <t>64317459-2018-4d92-bbd8-1e78cfb8ddea</t>
  </si>
  <si>
    <t>Potential high waters</t>
  </si>
  <si>
    <t>c4d223db-75d8-40f7-85cd-637dfab19ad5</t>
  </si>
  <si>
    <t>8e3634b3-157c-4418-9b50-12fce54d2cac</t>
  </si>
  <si>
    <t>2f061c70-30d5-42b9-82bb-16580e8b4ceb</t>
  </si>
  <si>
    <t>3f8e1445-6a15-43cf-8133-fd7767dd9995</t>
  </si>
  <si>
    <t>29d89946-76c2-4285-985d-0ff34211bdba</t>
  </si>
  <si>
    <t>N/A; Background (potential high rain)</t>
  </si>
  <si>
    <t>d9f3ff86-0b49-42fc-8dea-a1a94dc79368</t>
  </si>
  <si>
    <t>N/A; low tide for mapping</t>
  </si>
  <si>
    <t>f63d7ccc-69d6-4327-9e8d-b5a5c164ecfe</t>
  </si>
  <si>
    <t>N/A; mid-tide for mapping</t>
  </si>
  <si>
    <t>db8f13b9-35bf-45a0-806e-a6814f2f4930</t>
  </si>
  <si>
    <t>facfe0ef-b95a-44e1-9a44-b7feb047126d</t>
  </si>
  <si>
    <t>5c25550a-7fe1-43af-8021-67f600e6b77b</t>
  </si>
  <si>
    <t>e3af7240-6760-4ae3-8b61-31c81eb09bed</t>
  </si>
  <si>
    <t>N/A; high-ish tide for mapping</t>
  </si>
  <si>
    <t>8d1ea983-f540-4cb8-a0c2-b413350a32ac</t>
  </si>
  <si>
    <t>N/A; low-ish tide for mapping</t>
  </si>
  <si>
    <t>35b624d4-0fdb-4189-bc85-10e9d328448f</t>
  </si>
  <si>
    <t>Capture Date &amp; Time</t>
  </si>
  <si>
    <t>Flash Flood Warning</t>
  </si>
  <si>
    <t>820235b8-2b36-41cd-a6c4-e545a64de495</t>
  </si>
  <si>
    <t>High Tide</t>
  </si>
  <si>
    <t>010c2f35-ee05-4128-8ce1-da967f46ccc3</t>
  </si>
  <si>
    <t>7f0bf07c-6e74-49e8-9f11-6edf3e19bda2</t>
  </si>
  <si>
    <t>8b21dafb-75d4-423d-9fbc-9616b51bf994</t>
  </si>
  <si>
    <t>49456885-8514-499d-aeec-2cb058fbd17c</t>
  </si>
  <si>
    <t>cec693b3-2c9f-488a-a2ef-3499f9eb0d03</t>
  </si>
  <si>
    <t>a1aeaf2c-0fbf-48e8-8e59-8ca897eb8137</t>
  </si>
  <si>
    <t>d6871976-89ce-4398-982c-0e871aa01ce5</t>
  </si>
  <si>
    <t>2818503e-bac8-44a9-8459-8c9a0ef81369</t>
  </si>
  <si>
    <t>33b54909-4d26-4a49-bda8-b6ebda270492</t>
  </si>
  <si>
    <t>N/A; Background (post-high tide)</t>
  </si>
  <si>
    <t>135e5b13-6157-4e0d-95a3-79964d50b8c0</t>
  </si>
  <si>
    <t>c816ccfa-21df-4b74-b729-11f6864e8e64</t>
  </si>
  <si>
    <t>80940e60-4963-4650-8ea1-5c2cbf1bb74b</t>
  </si>
  <si>
    <t>ed88d038-5772-45ca-87fd-a4a83f4047c2</t>
  </si>
  <si>
    <t>296250b5-9d79-485e-9a74-1e2864f6ee44</t>
  </si>
  <si>
    <t>4d6f2389-e3c2-4a89-b742-6a689e3cc88e</t>
  </si>
  <si>
    <t>bb010ca8-9bc6-4ad8-9828-36fa580369c5</t>
  </si>
  <si>
    <t>4e79ca10-dd43-48ec-b195-49afd57a91ec</t>
  </si>
  <si>
    <t>4d667514-9777-4ee4-8b06-3a01af932cde</t>
  </si>
  <si>
    <t>a4c8363a-89b9-4c64-9b77-dbc4f1fe9299</t>
  </si>
  <si>
    <t>a38990af-bbc1-4618-858b-5b3585716b45</t>
  </si>
  <si>
    <t>95e4e8eb-bf53-409a-a969-7f86104957e2</t>
  </si>
  <si>
    <t>dc9d64e9-f6b1-45ab-b493-dbf580829920</t>
  </si>
  <si>
    <t>a287df11-70fe-467b-87bb-8aea22d25634</t>
  </si>
  <si>
    <t>parking lot flood</t>
  </si>
  <si>
    <t>4e37e440-4e0d-426f-b289-674ee042cd2c</t>
  </si>
  <si>
    <t>8e34e1ee-5378-495e-a9f3-732b55f7b421</t>
  </si>
  <si>
    <t>276dbf63-5391-4cd5-b265-92d9621bde89</t>
  </si>
  <si>
    <t>a86009bb-cc69-4dd7-8c90-23840d5937bb</t>
  </si>
  <si>
    <t>b9be3205-0f8f-4f7d-aad1-27bba494c5c0</t>
  </si>
  <si>
    <t>N/A; low tide for mapping; bistatic</t>
  </si>
  <si>
    <t>561bb26a-bd63-45e3-9081-55d8a1eeca9d</t>
  </si>
  <si>
    <t>1e6e21a8-63de-4843-b542-a68b0b662e3e</t>
  </si>
  <si>
    <t>2ee9ad7a-9fb4-4722-81ea-bf617db4a2a8</t>
  </si>
  <si>
    <t>weird streaks</t>
  </si>
  <si>
    <t>23154ee1-cae1-412b-a802-0afdd30b3502</t>
  </si>
  <si>
    <t>high-ish tide</t>
  </si>
  <si>
    <t>3fa80d1c-9588-4c77-918a-21cc8b369e5f</t>
  </si>
  <si>
    <t>bbada055-8f83-4069-ba0d-8170f3d3f293</t>
  </si>
  <si>
    <t>17efca07-5a0f-4f03-b5e0-04d62c53e9ab</t>
  </si>
  <si>
    <t>8looks</t>
  </si>
  <si>
    <t>0c6fb4b2-a3a9-4ce8-9152-dab0668ad6ec</t>
  </si>
  <si>
    <t>340f13c8-156c-4545-beb6-a6b8d79d80de</t>
  </si>
  <si>
    <t>301177ba-9220-4307-ba6d-9b553d937e1a</t>
  </si>
  <si>
    <t>some clear areas</t>
  </si>
  <si>
    <t>41011083-6348-46b1-b930-f959164bfd99</t>
  </si>
  <si>
    <t>Auasi TG Ht (m, Closest Min)</t>
  </si>
  <si>
    <t>Median (15th-14th of the months)</t>
  </si>
  <si>
    <t>Auasi - median</t>
  </si>
  <si>
    <t>Aunuu TG Ht (m, Closest Min)</t>
  </si>
  <si>
    <t>Aunuu - median</t>
  </si>
  <si>
    <t>3b8b1e6b-132f-44e5-babe-5c55c2044adb</t>
  </si>
  <si>
    <t>115cb9c7-543b-492b-9431-11134404de5f</t>
  </si>
  <si>
    <t>c66b9493-82de-4b4c-bc7a-93e4c2848165</t>
  </si>
  <si>
    <t>c63580eb-fb51-43ee-8c52-6dfd1cbb5b04</t>
  </si>
  <si>
    <t>66b73e11-cd84-4277-91e8-c1c8d2b44ae1</t>
  </si>
  <si>
    <t>9bc16ebe-c8cc-45f8-9886-426f03d48645</t>
  </si>
  <si>
    <t>Blurry</t>
  </si>
  <si>
    <t>180479eb-8240-4237-a7d6-8039a6770034</t>
  </si>
  <si>
    <t>49c88200-7715-416a-bf88-b3af7944b9b3</t>
  </si>
  <si>
    <t>42a6adc0-b3c5-4e3a-9fc8-fadef052debc</t>
  </si>
  <si>
    <t>6ad21475-9e8e-48d2-947e-a12008e911ec</t>
  </si>
  <si>
    <t>44c4238c-6296-4933-9ef9-7e6f4ed8f057</t>
  </si>
  <si>
    <t>0387e91c-5f66-430b-becf-db5175ad4508</t>
  </si>
  <si>
    <t>dc8b10f7-0f7a-4ee0-ac51-b5588cd8cddc</t>
  </si>
  <si>
    <t>49785e29-a604-418f-99a1-e6950b73e028</t>
  </si>
  <si>
    <t>N/A; Background (post-high waters)</t>
  </si>
  <si>
    <t>4c024a7f-9610-4b41-8714-4fe18610bb7c</t>
  </si>
  <si>
    <t>385087d1-b621-416a-83d5-b1470dcefa12</t>
  </si>
  <si>
    <t>4a62ae9e-f887-4a1d-8d4a-1112c0cc28fe</t>
  </si>
  <si>
    <t>b33601da-cbc8-4227-9fbe-0cc113551906</t>
  </si>
  <si>
    <t>5d68161c-decf-45ca-87b4-6720e803a4fd</t>
  </si>
  <si>
    <t>Potential high waters and bistatic</t>
  </si>
  <si>
    <t>4ec5b5dc-5773-4dbb-9522-c5f62a1aed83</t>
  </si>
  <si>
    <t>54ae0e41-fb02-4f81-9f17-dfa101aefbdc</t>
  </si>
  <si>
    <t>cebe5c0e-6abb-4e63-896a-d70f2fc86d79</t>
  </si>
  <si>
    <t>8f04cd39-7257-427f-9d98-9c11c3b821b9</t>
  </si>
  <si>
    <t>3d2aa6e8-bc66-46fb-b4ea-ac40b3ccb3dc</t>
  </si>
  <si>
    <t>83af4fb1-c411-4ec3-a838-887d81c2428d</t>
  </si>
  <si>
    <t>ef3cc119-cfe6-4d1f-92fc-c0f50fff38e0</t>
  </si>
  <si>
    <t>cc9e3a14-d52c-4cc2-887e-7e649ed44660</t>
  </si>
  <si>
    <t>945d50ec-596a-46b6-9611-a40f22171e67</t>
  </si>
  <si>
    <t>cc9272cf-340f-4478-9175-04734e63b617</t>
  </si>
  <si>
    <t>1fda71c7-d999-45f8-a1da-214689c48c8f</t>
  </si>
  <si>
    <t>bed2281e-73f9-4523-b71d-1673006cc924</t>
  </si>
  <si>
    <t>af766d4b-17fe-4f54-98a0-2bf44c34b169</t>
  </si>
  <si>
    <t>b6cf9dfd-aed1-4716-a9af-f2f3d9aeb6ac</t>
  </si>
  <si>
    <t>partial sandbar</t>
  </si>
  <si>
    <t>217052eb-7cbf-47bd-84f9-091ddc2a50a8</t>
  </si>
  <si>
    <t>tiny sandbar</t>
  </si>
  <si>
    <t>107b5353-1963-4005-8f87-e2c235647b80</t>
  </si>
  <si>
    <t>9ffa2594-7679-42ed-8b8c-10d64afdbe82</t>
  </si>
  <si>
    <t>37b023ec-6332-4995-b34d-1f9e7a85e25a</t>
  </si>
  <si>
    <t>N/A; Background (pre-flood advisory)</t>
  </si>
  <si>
    <t>ca39953e-5018-4c5c-8d6d-f4cdbe07e153</t>
  </si>
  <si>
    <t>a59bb120-e666-4e97-9349-3ede1b254891</t>
  </si>
  <si>
    <t>21c6bb25-80bd-4c0d-ba63-2d6ae26e873c</t>
  </si>
  <si>
    <t>93c1952b-3e07-47e3-b10e-4dc8974deff9</t>
  </si>
  <si>
    <t>3b39cc71-28d2-43b7-b967-41d82956d09a</t>
  </si>
  <si>
    <t>dbb7849d-98be-4aaa-b50a-1cf8c5293a29</t>
  </si>
  <si>
    <t>Off-center</t>
  </si>
  <si>
    <t>ff0a712d-e7ca-4cc8-b903-794633b39ba3</t>
  </si>
  <si>
    <t>very tiny sandbar?</t>
  </si>
  <si>
    <t>d6c7a6d7-06be-4904-9f48-a7f8410b628a</t>
  </si>
  <si>
    <t>4b5db4ef-b938-4eee-9e35-52cafef4d0c6</t>
  </si>
  <si>
    <t>sandbar</t>
  </si>
  <si>
    <t>8f34aeb4-006f-412b-9343-bacdba402fd9</t>
  </si>
  <si>
    <t>ff54752a-558b-49f1-8f0e-316294559179</t>
  </si>
  <si>
    <t>e8b2627b-a042-4d71-b504-90379e48c422</t>
  </si>
  <si>
    <t>17b5ac47-d9ee-4ea2-9939-1986f2926406</t>
  </si>
  <si>
    <t>large sandbar</t>
  </si>
  <si>
    <t>9aa2a579-89f8-465e-9958-3fcca5d381c3</t>
  </si>
  <si>
    <t>8looks; large sandbar</t>
  </si>
  <si>
    <t>1ecd91f5-fe1e-4282-a621-87531aba39a7</t>
  </si>
  <si>
    <t>OfuAS TG Ht (m, Closest Min)</t>
  </si>
  <si>
    <t>OfuAS - median</t>
  </si>
  <si>
    <t>7224dfaa-ae1c-4bc3-8025-e784231e4308</t>
  </si>
  <si>
    <t>southeast unclear</t>
  </si>
  <si>
    <t>f2b0f094-7d08-4282-bbf4-9ce87033e7fb</t>
  </si>
  <si>
    <t>961fc0b8-d250-4449-bf9c-fad303be54ec</t>
  </si>
  <si>
    <t>sandbar; southeast is unclear</t>
  </si>
  <si>
    <t>7133f771-a518-4ab5-9a55-97f35f5b23c1</t>
  </si>
  <si>
    <t>f00830e9-b7ee-4faf-a0e6-e26486ec364c</t>
  </si>
  <si>
    <t>b759ece8-aa61-42f2-9e84-a6c02a6a3d39</t>
  </si>
  <si>
    <t>west view</t>
  </si>
  <si>
    <t>9a03a927-1801-4404-90b3-a2f596c415a7</t>
  </si>
  <si>
    <t>4b868d1e-42c9-4bd2-8b74-b4be27b5f3ae</t>
  </si>
  <si>
    <t>e354af24-7247-4aa4-bbfa-0201e2c0667a</t>
  </si>
  <si>
    <t>b3977727-9d88-4263-b935-f787ed9896d5</t>
  </si>
  <si>
    <t>N/A; Background (post-flood advisory)</t>
  </si>
  <si>
    <t>9c8bf4fc-fc71-4852-8341-dcf6df6703f6</t>
  </si>
  <si>
    <t>57e9b40f-3939-4910-baa5-f12b9e8a5051</t>
  </si>
  <si>
    <t>N/A; Background</t>
  </si>
  <si>
    <t>4e9f03a7-d081-49e7-be98-440911ac361c</t>
  </si>
  <si>
    <t>22488d76-eadf-48c3-a407-dff57f0ef85a</t>
  </si>
  <si>
    <t>80c89a8f-1923-4d9b-93c7-4597903b4ba2</t>
  </si>
  <si>
    <t>0f401448-55d2-4eef-be74-c7baaf7dfb46</t>
  </si>
  <si>
    <t>15f5fd3d-0df4-4c72-a063-8faa9d234d79</t>
  </si>
  <si>
    <t>distorted</t>
  </si>
  <si>
    <t>459b8905-00b2-4545-a308-f9798c1506ef</t>
  </si>
  <si>
    <t>0b6b1e15-f288-4b3d-90fa-cf62945442ee</t>
  </si>
  <si>
    <t>dc24e994-36c2-4605-975c-e831e179be9c</t>
  </si>
  <si>
    <t>Southeast unclear</t>
  </si>
  <si>
    <t>caee5076-4da9-454a-9ebd-b342a3998b93</t>
  </si>
  <si>
    <t>618056d1-8eb5-4d7c-a82b-48779dc2b2d7</t>
  </si>
  <si>
    <t>819cf125-8972-4706-98cb-fb5c1afba5e9</t>
  </si>
  <si>
    <t>1d903901-f51b-44f1-bf35-40e094c4ecc3</t>
  </si>
  <si>
    <t>west view; pair with 12/24</t>
  </si>
  <si>
    <t>9b9ad14d-319b-4cf3-9adf-9b423ccbee82</t>
  </si>
  <si>
    <t>8looks; somewhat blurry</t>
  </si>
  <si>
    <t>b1e4b859-d1e0-4cd9-8311-c662c44e92cb</t>
  </si>
  <si>
    <t>85947d12-f951-4d4b-b7f4-47841d6a1fd6</t>
  </si>
  <si>
    <t>ec8dbd7f-21dd-421f-bd49-640680c42b4f</t>
  </si>
  <si>
    <t>1eaebc0b-b4d4-4eec-b758-50acc879e4f7</t>
  </si>
  <si>
    <t>f32838d6-6f70-4b79-9987-089f388b3de2</t>
  </si>
  <si>
    <t>1cab01a4-b0c4-450c-bdda-e173b6001d04</t>
  </si>
  <si>
    <t>316b2cb9-34b1-4034-b6b0-6d5422aab731</t>
  </si>
  <si>
    <t>a40e86f5-f4f3-45a7-8468-bf29301e6957</t>
  </si>
  <si>
    <t>c228d2da-0a83-4b00-a99d-f86c171fd96e</t>
  </si>
  <si>
    <t>east side distorted</t>
  </si>
  <si>
    <t>1d6ff482-72ed-4ec8-ade3-7e53e2930ce4</t>
  </si>
  <si>
    <t>fe76fbf4-dced-4bb3-8b9d-8c35dc7840ee</t>
  </si>
  <si>
    <t>99d75fb4-182f-4213-9e93-99cdbed75d1f</t>
  </si>
  <si>
    <t>N/A; Background (pre-high tide, pre flood watch)</t>
  </si>
  <si>
    <t>a7d1bc25-5191-4168-bbbf-44f82b8b52a9</t>
  </si>
  <si>
    <t>3e384707-0407-4021-9667-4d0c95089c22</t>
  </si>
  <si>
    <t>1399b0c4-adbd-41b4-9ac4-9072754b3de6</t>
  </si>
  <si>
    <t>66fdb3d0-5ad2-4d8e-81da-ac89698a352e</t>
  </si>
  <si>
    <t>89ba41fd-0e5a-4f78-a309-7138ace56dfe</t>
  </si>
  <si>
    <t>1cc52386-58b7-462d-878b-b3e6c8cbd8b1</t>
  </si>
  <si>
    <t>N/A; low tide</t>
  </si>
  <si>
    <t>993704c3-def1-47f6-8793-04713b57df27</t>
  </si>
  <si>
    <t>N/A; tasked for mid-tide</t>
  </si>
  <si>
    <t>29ed8c78-cc4a-4625-9371-261276afa332</t>
  </si>
  <si>
    <t>TauAS TG Ht (m, Closest Min)</t>
  </si>
  <si>
    <t>TauAS - median</t>
  </si>
  <si>
    <t>36928f3b-ca9b-4cb7-8afc-eebfe7e34061</t>
  </si>
  <si>
    <t>36070936-eaed-4723-84a2-112497ef2c94</t>
  </si>
  <si>
    <t>less clear</t>
  </si>
  <si>
    <t>2fd28c0d-0212-4008-9f00-500cbaea61f6</t>
  </si>
  <si>
    <t>d6970b16-e6a4-4e06-a69c-f35da81f3f3d</t>
  </si>
  <si>
    <t>b9cb8298-ba5f-41c2-a26b-065aefeb03f8</t>
  </si>
  <si>
    <t>RIght</t>
  </si>
  <si>
    <t>1e4b8ab6-fd3c-4eb6-ac52-7e5c470a2c9f</t>
  </si>
  <si>
    <t>1adf2a85-8f86-4936-900d-6c4400fe4c14</t>
  </si>
  <si>
    <t>6aeb4b8e-7644-4199-a709-0592a0661a4b</t>
  </si>
  <si>
    <t>44d27add-aaf9-4330-b8c6-2510a2701fa1</t>
  </si>
  <si>
    <t>a091cbae-ffe8-4985-bbd4-cd4d0ce28817</t>
  </si>
  <si>
    <t>8fd9c05d-e089-44f1-a4ad-778f76fa5ce7</t>
  </si>
  <si>
    <t>14f4f145-ee2b-4611-9464-d7ae17252411</t>
  </si>
  <si>
    <t>21ea7570-4ab3-4e88-895b-c548bf0e8555</t>
  </si>
  <si>
    <t>N/A; Background (pre-high waters)</t>
  </si>
  <si>
    <t>ca864aae-2c5d-4259-8578-8fdfd8c95999</t>
  </si>
  <si>
    <t>Potential high tide waters</t>
  </si>
  <si>
    <t>87bb2b33-2c52-46f5-9b85-1b5f330d9459</t>
  </si>
  <si>
    <t>35e9444b-9769-4623-8659-69055295dbdc</t>
  </si>
  <si>
    <t>1look</t>
  </si>
  <si>
    <t>9ce540d4-4a76-470e-ba71-fec6cc366e5c</t>
  </si>
  <si>
    <t>bad - wrong obs dir</t>
  </si>
  <si>
    <t>afbb0c4d-a852-438f-806c-db4a5f72fe80</t>
  </si>
  <si>
    <t>633f0f76-dcd8-4ae2-b825-602fbbcd270d</t>
  </si>
  <si>
    <t>a64e03af-dd84-46ff-9fe6-065546607de4</t>
  </si>
  <si>
    <t>N/A; low tide for mapping; potential bistatic</t>
  </si>
  <si>
    <t>f2321e19-7d14-477d-acf7-274f2950c1de</t>
  </si>
  <si>
    <t>2a95fc1c-b3cd-4f6d-b73f-ccb6b52d6569</t>
  </si>
  <si>
    <t>Oil spill</t>
  </si>
  <si>
    <t>b7701039-ad9d-448e-aaab-728df5b711ed</t>
  </si>
  <si>
    <t>f7445521-8d30-481b-9334-951ffb7cd807</t>
  </si>
  <si>
    <t>1ab0f89a-61c8-48bc-b4ab-844f8a56f951</t>
  </si>
  <si>
    <t>30fa3e0c-7143-460a-951d-f41254c453f0</t>
  </si>
  <si>
    <t>createdAt</t>
  </si>
  <si>
    <t>updatedAt</t>
  </si>
  <si>
    <t>taskName</t>
  </si>
  <si>
    <t>2024-10-17T19:37:21.929Z</t>
  </si>
  <si>
    <t>2024-10-18T01:08:44.637Z</t>
  </si>
  <si>
    <t>Pago Pago, Eastern, American Samoa</t>
  </si>
  <si>
    <t>2024-10-17T19:35:44.062Z</t>
  </si>
  <si>
    <t>2024-10-18T01:10:51.264Z</t>
  </si>
  <si>
    <t>2024-10-18T16:31:09.411Z</t>
  </si>
  <si>
    <t>2024-10-19T02:31:31.417Z</t>
  </si>
  <si>
    <t>Ofu, Manu'a, American Samoa</t>
  </si>
  <si>
    <t>2024-10-17T22:05:36.291Z</t>
  </si>
  <si>
    <t>2024-10-20T00:10:22.094Z</t>
  </si>
  <si>
    <t>Pago Pago, Western, American Samoa</t>
  </si>
  <si>
    <t>2024-10-22T16:19:53.433Z</t>
  </si>
  <si>
    <t>2024-10-23T00:37:13.592Z</t>
  </si>
  <si>
    <t>Tuamasaga, Samoa</t>
  </si>
  <si>
    <t>2024-10-22T15:57:10.670Z</t>
  </si>
  <si>
    <t>2024-10-23T06:42:04.962Z</t>
  </si>
  <si>
    <t>2024-10-22T16:21:36.983Z</t>
  </si>
  <si>
    <t>2024-10-23T11:36:17.514Z</t>
  </si>
  <si>
    <t>2024-10-22T16:27:08.573Z</t>
  </si>
  <si>
    <t>2024-10-23T11:37:12.674Z</t>
  </si>
  <si>
    <t>2024-10-24T02:09:32.943Z</t>
  </si>
  <si>
    <t>2024-10-25T11:31:56.401Z</t>
  </si>
  <si>
    <t>Pago Pago, Manu'a, American Samoa</t>
  </si>
  <si>
    <t>2024-10-29T14:59:20.508Z</t>
  </si>
  <si>
    <t>2024-10-31T14:08:42.599Z</t>
  </si>
  <si>
    <t>Ta'u, Manu'a, American Samoa</t>
  </si>
  <si>
    <t>2024-10-29T15:09:15.776Z</t>
  </si>
  <si>
    <t>2024-11-06T06:51:22.653Z</t>
  </si>
  <si>
    <t>2024-11-11T03:27:42.580Z</t>
  </si>
  <si>
    <t>2024-11-14T11:21:03.156Z</t>
  </si>
  <si>
    <t>Leone, Western, American Samoa</t>
  </si>
  <si>
    <t>2024-11-08T20:06:27.116Z</t>
  </si>
  <si>
    <t>2024-11-14T23:18:10.477Z</t>
  </si>
  <si>
    <t>2024-11-11T03:29:37.116Z</t>
  </si>
  <si>
    <t>2024-11-15T09:56:57.177Z</t>
  </si>
  <si>
    <t>Tafuna, Western, American Samoa</t>
  </si>
  <si>
    <t>2024-11-08T21:44:58.397Z</t>
  </si>
  <si>
    <t>2024-11-16T00:24:07.116Z</t>
  </si>
  <si>
    <t>Aunu'u, Eastern, American Samoa</t>
  </si>
  <si>
    <t>2024-11-08T21:18:13.832Z</t>
  </si>
  <si>
    <t>2024-11-16T00:30:20.235Z</t>
  </si>
  <si>
    <t>2024-11-11T03:28:10.392Z</t>
  </si>
  <si>
    <t>2024-11-17T00:39:24.683Z</t>
  </si>
  <si>
    <t>2024-11-20T21:38:16.831Z</t>
  </si>
  <si>
    <t>2024-11-21T10:37:37.367Z</t>
  </si>
  <si>
    <t>Ta'u American Samoa</t>
  </si>
  <si>
    <t>2024-11-20T21:36:00.655Z</t>
  </si>
  <si>
    <t>2024-11-21T11:12:22.944Z</t>
  </si>
  <si>
    <t>Aunu'u American Samoa</t>
  </si>
  <si>
    <t>2024-11-20T21:35:05.649Z</t>
  </si>
  <si>
    <t>2024-11-21T21:52:42.536Z</t>
  </si>
  <si>
    <t>Pago Pago, American Samoa</t>
  </si>
  <si>
    <t>2024-11-20T23:42:49.736Z</t>
  </si>
  <si>
    <t>2024-11-21T23:37:17.830Z</t>
  </si>
  <si>
    <t>Leone, American Samoa</t>
  </si>
  <si>
    <t>2024-11-20T23:41:51.457Z</t>
  </si>
  <si>
    <t>2024-11-22T02:44:28.828Z</t>
  </si>
  <si>
    <t>Tafuna, American Samoa</t>
  </si>
  <si>
    <t>2024-11-20T21:37:37.487Z</t>
  </si>
  <si>
    <t>2024-11-22T05:58:28.726Z</t>
  </si>
  <si>
    <t>Ofu, American Samoa</t>
  </si>
  <si>
    <t>2024-12-18T04:09:35.651Z</t>
  </si>
  <si>
    <t>2024-12-18T11:33:36.255Z</t>
  </si>
  <si>
    <t>2024-12-18T04:08:32.847Z</t>
  </si>
  <si>
    <t>2024-12-18T11:37:35.129Z</t>
  </si>
  <si>
    <t>2024-12-18T16:07:36.089Z</t>
  </si>
  <si>
    <t>2024-12-19T09:59:39.346Z</t>
  </si>
  <si>
    <t>2024-12-18T04:05:20.973Z</t>
  </si>
  <si>
    <t>2024-12-19T09:59:44.221Z</t>
  </si>
  <si>
    <t>2024-12-18T04:10:47.661Z</t>
  </si>
  <si>
    <t>2024-12-19T10:08:42.965Z</t>
  </si>
  <si>
    <t>Aunu'u, American Samoa</t>
  </si>
  <si>
    <t>2024-12-18T16:12:40.828Z</t>
  </si>
  <si>
    <t>2024-12-19T22:13:17.342Z</t>
  </si>
  <si>
    <t>2024-12-18T04:24:36.668Z</t>
  </si>
  <si>
    <t>2024-12-19T22:15:30.186Z</t>
  </si>
  <si>
    <t>2024-12-18T04:13:45.955Z</t>
  </si>
  <si>
    <t>2024-12-21T00:09:36.882Z</t>
  </si>
  <si>
    <t>Ta'u, American Samoa</t>
  </si>
  <si>
    <t>2024-12-18T16:15:16.468Z</t>
  </si>
  <si>
    <t>2024-12-22T00:51:20.773Z</t>
  </si>
  <si>
    <t>2024-12-18T17:13:01.288Z</t>
  </si>
  <si>
    <t>2024-12-23T09:55:46.311Z</t>
  </si>
  <si>
    <t>2024-12-18T16:16:52.877Z</t>
  </si>
  <si>
    <t>2024-12-23T16:00:57.352Z</t>
  </si>
  <si>
    <t>2024-12-18T04:24:39.049Z</t>
  </si>
  <si>
    <t>2024-12-24T09:35:08.185Z</t>
  </si>
  <si>
    <t>2024-12-18T04:16:48.063Z</t>
  </si>
  <si>
    <t>2024-12-24T09:35:34.991Z</t>
  </si>
  <si>
    <t>Oloesega, American Samoa</t>
  </si>
  <si>
    <t>2025-01-03T21:57:34.178Z</t>
  </si>
  <si>
    <t>2025-01-05T02:19:18.648Z</t>
  </si>
  <si>
    <t>2025-01-03T22:00:38.049Z</t>
  </si>
  <si>
    <t>2025-01-06T09:57:52.065Z</t>
  </si>
  <si>
    <t>2025-01-03T21:33:26.240Z</t>
  </si>
  <si>
    <t>2025-01-06T09:58:07.488Z</t>
  </si>
  <si>
    <t>2025-01-03T21:34:41.667Z</t>
  </si>
  <si>
    <t>2025-01-06T10:01:37.168Z</t>
  </si>
  <si>
    <t>2025-01-03T21:52:29.276Z</t>
  </si>
  <si>
    <t>2025-01-07T00:28:16.560Z</t>
  </si>
  <si>
    <t>Olosega, American Samoa</t>
  </si>
  <si>
    <t>2025-01-03T21:49:21.753Z</t>
  </si>
  <si>
    <t>2025-01-07T00:28:25.768Z</t>
  </si>
  <si>
    <t>2025-01-06T16:58:32.125Z</t>
  </si>
  <si>
    <t>2025-01-08T00:28:05.174Z</t>
  </si>
  <si>
    <t>2025-01-06T17:00:23.803Z</t>
  </si>
  <si>
    <t>2025-01-08T00:30:24.365Z</t>
  </si>
  <si>
    <t>2025-01-03T22:41:38.121Z</t>
  </si>
  <si>
    <t>2025-01-08T23:01:52.275Z</t>
  </si>
  <si>
    <t>2025-01-06T18:47:19.414Z</t>
  </si>
  <si>
    <t>2025-01-09T01:30:03.284Z</t>
  </si>
  <si>
    <t>2025-01-06T16:53:54.837Z</t>
  </si>
  <si>
    <t>2025-01-09T10:49:56.677Z</t>
  </si>
  <si>
    <t>2025-01-06T16:51:34.346Z</t>
  </si>
  <si>
    <t>2025-01-09T10:53:18.781Z</t>
  </si>
  <si>
    <t>2025-01-06T16:40:40.703Z</t>
  </si>
  <si>
    <t>2025-01-09T10:53:53.810Z</t>
  </si>
  <si>
    <t>2025-01-06T19:05:16.249Z</t>
  </si>
  <si>
    <t>2025-01-10T00:06:03.970Z</t>
  </si>
  <si>
    <t>2025-01-09T22:33:43.868Z</t>
  </si>
  <si>
    <t>2025-01-10T23:45:17.384Z</t>
  </si>
  <si>
    <t>2025-01-09T22:34:40.105Z</t>
  </si>
  <si>
    <t>2025-01-11T02:35:56.857Z</t>
  </si>
  <si>
    <t>2025-01-09T23:44:15.763Z</t>
  </si>
  <si>
    <t>2025-01-11T03:30:46.938Z</t>
  </si>
  <si>
    <t>2025-01-09T22:32:26.758Z</t>
  </si>
  <si>
    <t>2025-01-11T05:12:31.286Z</t>
  </si>
  <si>
    <t>2025-01-09T22:35:36.416Z</t>
  </si>
  <si>
    <t>2025-01-11T05:45:52.741Z</t>
  </si>
  <si>
    <t>2025-01-09T23:35:34.014Z</t>
  </si>
  <si>
    <t>2025-01-12T22:07:10.696Z</t>
  </si>
  <si>
    <t>2025-01-09T22:51:12.975Z</t>
  </si>
  <si>
    <t>2025-01-13T00:56:43.478Z</t>
  </si>
  <si>
    <t>Oloega, American Samoa</t>
  </si>
  <si>
    <t>2025-02-07T16:34:39.178Z</t>
  </si>
  <si>
    <t>2025-02-10T10:43:53.346Z</t>
  </si>
  <si>
    <t>2025-02-08T04:04:31.828Z</t>
  </si>
  <si>
    <t>2025-02-10T22:07:27.864Z</t>
  </si>
  <si>
    <t>2025-02-08T04:10:39.487Z</t>
  </si>
  <si>
    <t>2025-02-10T22:07:23.775Z</t>
  </si>
  <si>
    <t>2025-02-08T04:08:47.808Z</t>
  </si>
  <si>
    <t>2025-02-11T02:45:32.709Z</t>
  </si>
  <si>
    <t>2025-02-08T04:12:03.614Z</t>
  </si>
  <si>
    <t>2025-02-10T10:40:53.594Z</t>
  </si>
  <si>
    <t>2025-02-06T22:23:39.249Z</t>
  </si>
  <si>
    <t>2025-02-12T01:42:16.314Z</t>
  </si>
  <si>
    <t>2025-02-11T17:14:46.775Z</t>
  </si>
  <si>
    <t>2025-02-13T12:37:38.594Z</t>
  </si>
  <si>
    <t>2025-02-06T22:20:11.304Z</t>
  </si>
  <si>
    <t>2025-02-13T12:39:17.250Z</t>
  </si>
  <si>
    <t>2025-02-11T17:55:56.695Z</t>
  </si>
  <si>
    <t>2025-02-14T10:02:13.429Z</t>
  </si>
  <si>
    <t>2025-02-11T17:47:46.073Z</t>
  </si>
  <si>
    <t>2025-02-14T10:03:26.406Z</t>
  </si>
  <si>
    <t>2025-02-11T17:56:58.781Z</t>
  </si>
  <si>
    <t>2025-02-14T22:11:46.962Z</t>
  </si>
  <si>
    <t>2025-02-11T17:50:36.825Z</t>
  </si>
  <si>
    <t>2025-02-15T00:05:12.755Z</t>
  </si>
  <si>
    <t>2025-02-11T17:16:59.016Z</t>
  </si>
  <si>
    <t>2025-02-15T22:26:32.073Z</t>
  </si>
  <si>
    <t>2025-02-14T17:28:23.302Z</t>
  </si>
  <si>
    <t>2025-02-15T22:58:46.435Z</t>
  </si>
  <si>
    <t>2025-02-14T16:29:40.981Z</t>
  </si>
  <si>
    <t>2025-02-18T09:37:54.072Z</t>
  </si>
  <si>
    <t>2025-02-14T16:25:05.187Z</t>
  </si>
  <si>
    <t>2025-02-18T09:43:33.413Z</t>
  </si>
  <si>
    <t>2025-02-14T16:26:12.934Z</t>
  </si>
  <si>
    <t>2025-02-18T11:06:14.592Z</t>
  </si>
  <si>
    <t>2025-02-14T17:34:20.415Z</t>
  </si>
  <si>
    <t>2025-02-18T11:24:36.911Z</t>
  </si>
  <si>
    <t>2025-02-14T16:30:55.248Z</t>
  </si>
  <si>
    <t>2025-02-19T02:31:56.309Z</t>
  </si>
  <si>
    <t>2025-02-12T22:09:51.188Z</t>
  </si>
  <si>
    <t>2025-02-19T10:48:52.983Z</t>
  </si>
  <si>
    <t>2025-02-14T16:35:49.449Z</t>
  </si>
  <si>
    <t>2025-02-19T13:48:05.291Z</t>
  </si>
  <si>
    <t>2025-02-19T00:05:32.381Z</t>
  </si>
  <si>
    <t>2025-02-22T09:36:18.766Z</t>
  </si>
  <si>
    <t>Central Tafuna, American Samoa</t>
  </si>
  <si>
    <t>2025-03-06T20:08:16.292Z</t>
  </si>
  <si>
    <t>2025-03-13T21:37:48.597Z</t>
  </si>
  <si>
    <t>2025-03-06T20:21:06.282Z</t>
  </si>
  <si>
    <t>2025-03-13T12:14:18.715Z</t>
  </si>
  <si>
    <t>2025-03-10T17:15:05.495Z</t>
  </si>
  <si>
    <t>2025-03-12T11:25:47.188Z</t>
  </si>
  <si>
    <t>2025-03-10T17:39:01.838Z</t>
  </si>
  <si>
    <t>2025-03-12T11:24:17.495Z</t>
  </si>
  <si>
    <t>2025-03-10T17:40:24.675Z</t>
  </si>
  <si>
    <t>2025-03-12T11:24:25.551Z</t>
  </si>
  <si>
    <t>2025-03-10T20:03:37.210Z</t>
  </si>
  <si>
    <t>2025-03-12T22:35:31.509Z</t>
  </si>
  <si>
    <t>2025-03-10T17:48:01.137Z</t>
  </si>
  <si>
    <t>2025-03-14T11:14:12.559Z</t>
  </si>
  <si>
    <t>2025-03-14T03:34:11.147Z</t>
  </si>
  <si>
    <t>2025-03-16T22:28:11.777Z</t>
  </si>
  <si>
    <t>2025-03-20T20:47:43.823Z</t>
  </si>
  <si>
    <t>2025-03-21T01:18:49.102Z</t>
  </si>
  <si>
    <t>2025-03-20T20:48:53.262Z</t>
  </si>
  <si>
    <t>2025-03-21T01:18:17.898Z</t>
  </si>
  <si>
    <t>2025-03-20T20:50:15.229Z</t>
  </si>
  <si>
    <t>2025-03-21T01:17:44.553Z</t>
  </si>
  <si>
    <t>2025-03-20T20:51:23.058Z</t>
  </si>
  <si>
    <t>2025-03-20T23:49:02.363Z</t>
  </si>
  <si>
    <t>2025-03-20T20:53:45.750Z</t>
  </si>
  <si>
    <t>2025-03-21T01:18:12.989Z</t>
  </si>
  <si>
    <t>2025-03-21T00:16:34.673Z</t>
  </si>
  <si>
    <t>2025-03-21T23:26:37.660Z</t>
  </si>
  <si>
    <t>2025-03-21T00:16:48.542Z</t>
  </si>
  <si>
    <t>2025-03-21T23:26:11.728Z</t>
  </si>
  <si>
    <t>2025-03-21T00:18:04.306Z</t>
  </si>
  <si>
    <t>2025-03-21T23:26:29.753Z</t>
  </si>
  <si>
    <t>2025-03-21T00:18:22.505Z</t>
  </si>
  <si>
    <t>2025-03-21T23:32:06.180Z</t>
  </si>
  <si>
    <t>2025-03-21T00:25:04.499Z</t>
  </si>
  <si>
    <t>2025-03-23T00:08:41.090Z</t>
  </si>
  <si>
    <t>2025-03-21T02:02:23.119Z</t>
  </si>
  <si>
    <t>2025-03-21T23:46:42.157Z</t>
  </si>
  <si>
    <t>2025-03-25T04:11:11.275Z</t>
  </si>
  <si>
    <t>2025-03-28T13:37:35.416Z</t>
  </si>
  <si>
    <t>2025-03-24T03:23:46.035Z</t>
  </si>
  <si>
    <t>2025-03-29T13:03:59.961Z</t>
  </si>
  <si>
    <t>2025-03-24T03:25:33.567Z</t>
  </si>
  <si>
    <t>2025-03-31T02:26:34.898Z</t>
  </si>
  <si>
    <t>2025-03-24T03:25:35.794Z</t>
  </si>
  <si>
    <t>2025-03-30T12:31:40.874Z</t>
  </si>
  <si>
    <t>2025-03-24T03:29:56.169Z</t>
  </si>
  <si>
    <t>2025-03-31T02:26:13.752Z</t>
  </si>
  <si>
    <t>2025-03-24T03:32:55.526Z</t>
  </si>
  <si>
    <t>2025-03-30T23:47:57.763Z</t>
  </si>
  <si>
    <t>2025-03-25T04:08:38.838Z</t>
  </si>
  <si>
    <t>2025-03-30T22:56:06.815Z</t>
  </si>
  <si>
    <t>2025-03-26T19:40:09.221Z</t>
  </si>
  <si>
    <t>2025-04-02T11:07:02.361Z</t>
  </si>
  <si>
    <t>2025-03-31T02:50:42.049Z</t>
  </si>
  <si>
    <t>2025-04-01T02:47:28.530Z</t>
  </si>
  <si>
    <t>2025-04-03T19:08:39.332Z</t>
  </si>
  <si>
    <t>2025-04-04T04:07:55.251Z</t>
  </si>
  <si>
    <t>2025-04-03T19:09:33.216Z</t>
  </si>
  <si>
    <t>2025-04-04T04:08:31.829Z</t>
  </si>
  <si>
    <t>2025-04-03T19:09:57.339Z</t>
  </si>
  <si>
    <t>2025-04-04T04:14:19.363Z</t>
  </si>
  <si>
    <t>2025-04-10T17:59:36.682Z</t>
  </si>
  <si>
    <t>2025-04-13T11:05:47.098Z</t>
  </si>
  <si>
    <t>2025-04-10T17:59:53.914Z</t>
  </si>
  <si>
    <t>2025-04-13T11:06:46.132Z</t>
  </si>
  <si>
    <t>2025-04-10T20:04:38.829Z</t>
  </si>
  <si>
    <t>2025-04-15T22:12:23.678Z</t>
  </si>
  <si>
    <t>2025-04-23T17:44:33.549Z</t>
  </si>
  <si>
    <t>2025-04-27T21:12:12.971Z</t>
  </si>
  <si>
    <t>Tau, American Samoa</t>
  </si>
  <si>
    <t>2025-04-23T17:54:21.139Z</t>
  </si>
  <si>
    <t>2025-04-29T10:00:23.907Z</t>
  </si>
  <si>
    <t>2025-04-25T19:40:17.027Z</t>
  </si>
  <si>
    <t>2025-05-01T22:33:49.772Z</t>
  </si>
  <si>
    <t>Ofu, American Samoa - 1</t>
  </si>
  <si>
    <t>2025-04-25T19:40:19.310Z</t>
  </si>
  <si>
    <t>2025-05-02T11:21:48.282Z</t>
  </si>
  <si>
    <t>Ofu, American Samoa - 2</t>
  </si>
  <si>
    <t>2025-04-25T19:53:32.639Z</t>
  </si>
  <si>
    <t>2025-05-02T23:29:25.982Z</t>
  </si>
  <si>
    <t>Tafuna, American Samoa - 1</t>
  </si>
  <si>
    <t>2025-04-25T19:53:34.865Z</t>
  </si>
  <si>
    <t>2025-04-29T09:58:38.675Z</t>
  </si>
  <si>
    <t>Tafuna, American Samoa - 2</t>
  </si>
  <si>
    <t>2025-05-05T20:53:37.771Z</t>
  </si>
  <si>
    <t>2025-05-06T13:48:28.544Z</t>
  </si>
  <si>
    <t>2025-05-06T01:23:25.989Z</t>
  </si>
  <si>
    <t>2025-05-07T11:47:30.664Z</t>
  </si>
  <si>
    <t>2025-05-06T01:30:55.357Z</t>
  </si>
  <si>
    <t>2025-05-07T11:47:48.460Z</t>
  </si>
  <si>
    <t>2025-05-06T01:22:49.369Z</t>
  </si>
  <si>
    <t>2025-05-07T11:49:03.715Z</t>
  </si>
  <si>
    <t>2025-05-06T01:25:24.727Z</t>
  </si>
  <si>
    <t>2025-05-08T10:55:22.496Z</t>
  </si>
  <si>
    <t>2025-05-06T01:27:46.873Z</t>
  </si>
  <si>
    <t>2025-05-08T10:54:18.045Z</t>
  </si>
  <si>
    <t>2025-05-06T01:34:22.899Z</t>
  </si>
  <si>
    <t>2025-05-08T21:39:48.200Z</t>
  </si>
  <si>
    <t>Olosega, American Samoa - 1</t>
  </si>
  <si>
    <t>2025-05-06T01:28:53.079Z</t>
  </si>
  <si>
    <t>2025-05-08T21:38:28.174Z</t>
  </si>
  <si>
    <t>2025-05-06T01:34:24.956Z</t>
  </si>
  <si>
    <t>2025-05-11T09:36:49.254Z</t>
  </si>
  <si>
    <t>Olosega, American Samoa - 2</t>
  </si>
  <si>
    <t>2025-05-16T21:06:42.665Z</t>
  </si>
  <si>
    <t>2025-05-22T09:46:31.301Z</t>
  </si>
  <si>
    <t>Aunu'u, American Samoa - 1</t>
  </si>
  <si>
    <t>2025-05-16T21:06:45.004Z</t>
  </si>
  <si>
    <t>2025-05-23T10:59:01.734Z</t>
  </si>
  <si>
    <t>Aunu'u, American Samoa - 2</t>
  </si>
  <si>
    <t>2025-05-16T21:13:18.880Z</t>
  </si>
  <si>
    <t>2025-05-22T21:29:26.067Z</t>
  </si>
  <si>
    <t>Pago Pago, American Samoa - 1</t>
  </si>
  <si>
    <t>2025-05-16T21:13:21.093Z</t>
  </si>
  <si>
    <t>2025-05-23T12:24:28.350Z</t>
  </si>
  <si>
    <t>Pago Pago, American Samoa - 2</t>
  </si>
  <si>
    <t>2025-05-16T21:23:25.042Z</t>
  </si>
  <si>
    <t>2025-05-22T09:44:36.439Z</t>
  </si>
  <si>
    <t>Leone, American Samoa - 1</t>
  </si>
  <si>
    <t>2025-05-16T21:23:27.355Z</t>
  </si>
  <si>
    <t>2025-05-22T21:27:26.898Z</t>
  </si>
  <si>
    <t>Leone, American Samoa - 2</t>
  </si>
  <si>
    <t>2025-05-19T15:52:04.764Z</t>
  </si>
  <si>
    <t>2025-05-25T21:17:31.805Z</t>
  </si>
  <si>
    <t>2025-05-19T15:53:38.019Z</t>
  </si>
  <si>
    <t>2025-05-25T11:25:53.051Z</t>
  </si>
  <si>
    <t>2025-05-19T15:57:20.300Z</t>
  </si>
  <si>
    <t>2025-05-25T21:16:29.774Z</t>
  </si>
  <si>
    <t>2025-05-19T15:59:14.217Z</t>
  </si>
  <si>
    <t>2025-05-24T17:17:30.164Z</t>
  </si>
  <si>
    <t>2025-05-19T20:24:08.598Z</t>
  </si>
  <si>
    <t>2025-05-25T12:47:56.981Z</t>
  </si>
  <si>
    <t>Pago Pago, American Samoa - Umbra-10</t>
  </si>
  <si>
    <t>2025-05-19T20:24:10.695Z</t>
  </si>
  <si>
    <t>2025-05-25T11:25:39.026Z</t>
  </si>
  <si>
    <t>Pago Pago, American Samoa - Umbra-09</t>
  </si>
  <si>
    <t>2025-05-20T15:38:43.697Z</t>
  </si>
  <si>
    <t>2025-05-27T09:56:34.727Z</t>
  </si>
  <si>
    <t>2025-05-20T15:39:52.081Z</t>
  </si>
  <si>
    <t>2025-05-27T09:58:16.488Z</t>
  </si>
  <si>
    <t>2025-05-20T15:44:38.829Z</t>
  </si>
  <si>
    <t>2025-05-27T09:55:38.255Z</t>
  </si>
  <si>
    <t>2025-05-20T16:35:14.311Z</t>
  </si>
  <si>
    <t>2025-05-27T14:12:38.079Z</t>
  </si>
  <si>
    <t>Ofu, American Samoa - Umbra-10</t>
  </si>
  <si>
    <t>2025-05-20T16:35:16.480Z</t>
  </si>
  <si>
    <t>2025-05-27T12:11:49.972Z</t>
  </si>
  <si>
    <t>Ofu, American Samoa - Umbra-09</t>
  </si>
  <si>
    <t>2025-05-22T15:33:26.505Z</t>
  </si>
  <si>
    <t>2025-05-24T11:23:27.216Z</t>
  </si>
  <si>
    <t>2025-05-22T15:46:50.696Z</t>
  </si>
  <si>
    <t>2025-05-23T22:42:54.796Z</t>
  </si>
  <si>
    <t>2025-05-22T16:54:49.405Z</t>
  </si>
  <si>
    <t>2025-05-29T12:36:31.404Z</t>
  </si>
  <si>
    <t>2025-05-22T16:12:11.461Z</t>
  </si>
  <si>
    <t>2025-05-29T13:01:05.088Z</t>
  </si>
  <si>
    <t>2025-05-22T15:44:07.294Z</t>
  </si>
  <si>
    <t>2025-05-29T12:39:13.635Z</t>
  </si>
  <si>
    <t>Aunu'u, American Samoa - Umbra-09</t>
  </si>
  <si>
    <t>2025-05-22T15:40:40.671Z</t>
  </si>
  <si>
    <t>2025-05-29T11:20:06.862Z</t>
  </si>
  <si>
    <t>Leone, American Samoa - Umbra-09</t>
  </si>
  <si>
    <t>2025-05-22T15:44:04.984Z</t>
  </si>
  <si>
    <t>2025-05-29T13:05:44.841Z</t>
  </si>
  <si>
    <t>Aunu'u, American Samoa - Umbra-10</t>
  </si>
  <si>
    <t>2025-05-22T15:40:38.366Z</t>
  </si>
  <si>
    <t>2025-05-29T11:16:53.831Z</t>
  </si>
  <si>
    <t>Leone, American Samoa - Umbra-10</t>
  </si>
  <si>
    <t>2025-05-23T16:03:16.802Z</t>
  </si>
  <si>
    <t>2025-05-30T10:46:55.739Z</t>
  </si>
  <si>
    <t>2025-05-23T15:10:44.057Z</t>
  </si>
  <si>
    <t>2025-05-30T11:18:27.983Z</t>
  </si>
  <si>
    <t>Olosega, American Samoa - Umbra-10</t>
  </si>
  <si>
    <t>2025-05-23T15:10:46.417Z</t>
  </si>
  <si>
    <t>2025-05-30T11:18:36.316Z</t>
  </si>
  <si>
    <t>Olosega, American Samoa - Umbra-09</t>
  </si>
  <si>
    <t>2025-05-23T15:31:50.783Z</t>
  </si>
  <si>
    <t>2025-05-30T13:13:32.694Z</t>
  </si>
  <si>
    <t>Ta'u, American Samoa - Umbra-10</t>
  </si>
  <si>
    <t>2025-05-23T15:31:52.839Z</t>
  </si>
  <si>
    <t>2025-05-30T13:50:51.289Z</t>
  </si>
  <si>
    <t>Ta'u, American Samoa - Umbra-09</t>
  </si>
  <si>
    <t>2025-05-23T15:39:30.973Z</t>
  </si>
  <si>
    <t>2025-05-30T21:36:38.336Z</t>
  </si>
  <si>
    <t>Ofu, American Samoa - Southeast view</t>
  </si>
  <si>
    <t>2025-06-05T14:20:29.254Z</t>
  </si>
  <si>
    <t>2025-06-07T02:26:18.648Z</t>
  </si>
  <si>
    <t>2025-06-05T14:20:26.974Z</t>
  </si>
  <si>
    <t>2025-06-07T06:55:44.232Z</t>
  </si>
  <si>
    <t>2025-06-05T14:30:23.997Z</t>
  </si>
  <si>
    <t>2025-06-08T10:45:47.334Z</t>
  </si>
  <si>
    <t>2025-06-05T14:40:30.438Z</t>
  </si>
  <si>
    <t>2025-06-11T10:39:23.348Z</t>
  </si>
  <si>
    <t>2025-06-09T16:31:32.584Z</t>
  </si>
  <si>
    <t>2025-06-15T09:34:52.664Z</t>
  </si>
  <si>
    <t>2025-06-18T21:35:47.736Z</t>
  </si>
  <si>
    <t>2025-06-19T11:25:55.267Z</t>
  </si>
  <si>
    <t>2025-06-18T21:21:44.396Z</t>
  </si>
  <si>
    <t>2025-06-19T11:27:46.192Z</t>
  </si>
  <si>
    <t>2025-06-18T21:07:26.173Z</t>
  </si>
  <si>
    <t>2025-06-20T16:09:33.535Z</t>
  </si>
  <si>
    <t>2025-06-17T21:53:38.581Z</t>
  </si>
  <si>
    <t>2025-06-22T11:23:33.253Z</t>
  </si>
  <si>
    <t>2025-06-20T17:14:22.479Z</t>
  </si>
  <si>
    <t>2025-06-22T11:11:05.193Z</t>
  </si>
  <si>
    <t>Aunu'u, American Samoa - 3</t>
  </si>
  <si>
    <t>2025-06-20T17:14:20.271Z</t>
  </si>
  <si>
    <t>2025-06-23T10:50:12.304Z</t>
  </si>
  <si>
    <t>2025-06-18T21:07:28.442Z</t>
  </si>
  <si>
    <t>2025-06-23T15:45:19.179Z</t>
  </si>
  <si>
    <t>2025-06-17T21:36:29.437Z</t>
  </si>
  <si>
    <t>2025-06-23T11:17:52.683Z</t>
  </si>
  <si>
    <t>2025-06-17T21:54:38.544Z</t>
  </si>
  <si>
    <t>2025-06-23T15:01:14.152Z</t>
  </si>
  <si>
    <t>2025-06-20T17:07:10.166Z</t>
  </si>
  <si>
    <t>2025-06-23T23:02:22.759Z</t>
  </si>
  <si>
    <t>2025-06-18T21:18:01.543Z</t>
  </si>
  <si>
    <t>2025-06-24T11:40:56.414Z</t>
  </si>
  <si>
    <t>2025-06-19T18:04:08.557Z</t>
  </si>
  <si>
    <t>2025-06-24T23:44:39.128Z</t>
  </si>
  <si>
    <t>2025-06-20T03:28:22.148Z</t>
  </si>
  <si>
    <t>2025-06-24T23:42:58.694Z</t>
  </si>
  <si>
    <t>2025-06-25T20:22:17.136Z</t>
  </si>
  <si>
    <t>2025-06-25T23:44:07.004Z</t>
  </si>
  <si>
    <t>Ofu, American Samoa - west view</t>
  </si>
  <si>
    <t>2025-06-19T17:59:01.178Z</t>
  </si>
  <si>
    <t>2025-06-26T23:31:10.260Z</t>
  </si>
  <si>
    <t>2025-06-19T18:13:06.327Z</t>
  </si>
  <si>
    <t>2025-06-26T23:29:38.055Z</t>
  </si>
  <si>
    <t>2025-06-21T00:23:11.786Z</t>
  </si>
  <si>
    <t>2025-06-27T22:59:42.841Z</t>
  </si>
  <si>
    <t>2025-06-25T16:29:57.264Z</t>
  </si>
  <si>
    <t>2025-06-27T22:58:22.411Z</t>
  </si>
  <si>
    <t>2025-06-27T17:21:00.395Z</t>
  </si>
  <si>
    <t>2025-06-28T23:33:39.193Z</t>
  </si>
  <si>
    <t>2025-06-23T19:43:25.449Z</t>
  </si>
  <si>
    <t>2025-06-29T01:12:50.154Z</t>
  </si>
  <si>
    <t>2025-06-23T19:43:27.570Z</t>
  </si>
  <si>
    <t>2025-06-29T22:35:09.197Z</t>
  </si>
  <si>
    <t>2025-06-23T16:47:08.096Z</t>
  </si>
  <si>
    <t>2025-06-30T10:08:12.666Z</t>
  </si>
  <si>
    <t>2025-06-27T17:21:02.528Z</t>
  </si>
  <si>
    <t>2025-07-02T22:37:23.284Z</t>
  </si>
  <si>
    <t>2025-06-30T20:24:15.814Z</t>
  </si>
  <si>
    <t>2025-07-05T09:54:24.104Z</t>
  </si>
  <si>
    <t>2025-07-02T20:21:47.950Z</t>
  </si>
  <si>
    <t>2025-07-06T00:31:52.571Z</t>
  </si>
  <si>
    <t>2025-07-10T22:39:13.572Z</t>
  </si>
  <si>
    <t>2025-07-15T11:10:53.792Z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</si>
</sst>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/d/yyyy h:mm:ss"/>
    <numFmt numFmtId="166" formatCode="m/d/yy h:mm:ss"/>
    <numFmt numFmtId="167" formatCode="M/d/yyyy H:mm:ss"/>
  </numFmts>
  <fonts count="14">
    <font>
      <sz val="12.0"/>
      <color theme="1"/>
      <name val="Aptos Narrow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color theme="1"/>
      <name val="Aptos Narrow"/>
    </font>
    <font>
      <u/>
      <color rgb="FF0000FF"/>
      <name val="Arial"/>
    </font>
    <font>
      <sz val="12.0"/>
      <color theme="1"/>
      <name val="Arial"/>
    </font>
    <font>
      <b/>
      <color theme="1"/>
      <name val="Aptos Narrow"/>
    </font>
    <font>
      <b/>
      <sz val="12.0"/>
      <color theme="1"/>
      <name val="Aptos Narrow"/>
    </font>
    <font>
      <sz val="12.0"/>
      <color rgb="FF000000"/>
      <name val="&quot;Aptos Narrow&quot;"/>
    </font>
    <font>
      <sz val="12.0"/>
      <color rgb="FF000000"/>
      <name val="Arial"/>
    </font>
    <font>
      <sz val="12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2" fontId="1" numFmtId="164" xfId="0" applyAlignment="1" applyFill="1" applyFont="1" applyNumberFormat="1">
      <alignment horizontal="left"/>
    </xf>
    <xf borderId="0" fillId="2" fontId="1" numFmtId="0" xfId="0" applyFont="1"/>
    <xf borderId="0" fillId="0" fontId="4" numFmtId="0" xfId="0" applyFont="1"/>
    <xf borderId="0" fillId="3" fontId="1" numFmtId="0" xfId="0" applyAlignment="1" applyFill="1" applyFont="1">
      <alignment horizontal="left"/>
    </xf>
    <xf borderId="0" fillId="3" fontId="1" numFmtId="0" xfId="0" applyFont="1"/>
    <xf borderId="0" fillId="0" fontId="1" numFmtId="164" xfId="0" applyAlignment="1" applyFont="1" applyNumberFormat="1">
      <alignment horizontal="left"/>
    </xf>
    <xf borderId="0" fillId="0" fontId="1" numFmtId="0" xfId="0" applyFont="1"/>
    <xf borderId="0" fillId="0" fontId="5" numFmtId="0" xfId="0" applyFont="1"/>
    <xf borderId="0" fillId="3" fontId="1" numFmtId="164" xfId="0" applyAlignment="1" applyFont="1" applyNumberFormat="1">
      <alignment horizontal="left"/>
    </xf>
    <xf borderId="0" fillId="0" fontId="6" numFmtId="0" xfId="0" applyFont="1"/>
    <xf borderId="0" fillId="2" fontId="7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8" numFmtId="0" xfId="0" applyFont="1"/>
    <xf borderId="0" fillId="0" fontId="9" numFmtId="0" xfId="0" applyFont="1"/>
    <xf borderId="0" fillId="0" fontId="2" numFmtId="2" xfId="0" applyFont="1" applyNumberFormat="1"/>
    <xf borderId="0" fillId="0" fontId="1" numFmtId="0" xfId="0" applyAlignment="1" applyFont="1">
      <alignment shrinkToFit="0" wrapText="1"/>
    </xf>
    <xf borderId="0" fillId="0" fontId="1" numFmtId="165" xfId="0" applyFont="1" applyNumberFormat="1"/>
    <xf borderId="0" fillId="0" fontId="5" numFmtId="165" xfId="0" applyFont="1" applyNumberFormat="1"/>
    <xf borderId="0" fillId="0" fontId="5" numFmtId="0" xfId="0" applyAlignment="1" applyFont="1">
      <alignment shrinkToFit="0" wrapText="1"/>
    </xf>
    <xf borderId="0" fillId="0" fontId="5" numFmtId="2" xfId="0" applyFont="1" applyNumberFormat="1"/>
    <xf borderId="0" fillId="0" fontId="1" numFmtId="166" xfId="0" applyFont="1" applyNumberFormat="1"/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right" vertical="bottom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3" numFmtId="0" xfId="0" applyFont="1"/>
    <xf borderId="0" fillId="0" fontId="12" numFmtId="0" xfId="0" applyAlignment="1" applyFont="1">
      <alignment vertical="bottom"/>
    </xf>
    <xf borderId="0" fillId="0" fontId="1" numFmtId="167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desandcurrents.noaa.gov/inundationdb/inundation.html?id=1770000&amp;units=standard&amp;bdate=20241001&amp;edate=20250328&amp;timezone=GMT&amp;datum=MHHW&amp;interval=h&amp;action=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idesandcurrents.noaa.gov/inundationdb/inundation.html?id=1770000&amp;units=standard&amp;bdate=20241008&amp;edate=20250116&amp;timezone=LST/LDT&amp;datum=MHHW&amp;interval=h&amp;action=" TargetMode="External"/><Relationship Id="rId2" Type="http://schemas.openxmlformats.org/officeDocument/2006/relationships/hyperlink" Target="https://www.ncdc.noaa.gov/stormevents/listevents.jsp?eventType=ALL&amp;beginDate_mm=01&amp;beginDate_dd=01&amp;beginDate_yyyy=2024&amp;endDate_mm=12&amp;endDate_dd=30&amp;endDate_yyyy=2024&amp;county=ALL&amp;hailfilter=0.00&amp;tornfilter=0&amp;windfilter=000&amp;sort=DT&amp;submitbutton=Search&amp;statefips=97%2CAMERICAN+SAMOA" TargetMode="External"/><Relationship Id="rId3" Type="http://schemas.openxmlformats.org/officeDocument/2006/relationships/hyperlink" Target="https://www.ncdc.noaa.gov/stormevents/listevents.jsp?eventType=ALL&amp;beginDate_mm=01&amp;beginDate_dd=01&amp;beginDate_yyyy=2024&amp;endDate_mm=12&amp;endDate_dd=30&amp;endDate_yyyy=2024&amp;county=ALL&amp;hailfilter=0.00&amp;tornfilter=0&amp;windfilter=000&amp;sort=DT&amp;submitbutton=Search&amp;statefips=97%2CAMERICAN+SAMOA" TargetMode="External"/><Relationship Id="rId4" Type="http://schemas.openxmlformats.org/officeDocument/2006/relationships/hyperlink" Target="https://tidesandcurrents.noaa.gov/inundationdb/inundation.html?id=1770000&amp;units=standard&amp;bdate=20250226&amp;edate=20250410&amp;timezone=GMT&amp;datum=MHHW&amp;interval=h&amp;action=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</row>
    <row r="2">
      <c r="A2" s="1" t="s">
        <v>1</v>
      </c>
    </row>
    <row r="3">
      <c r="A3" s="1"/>
    </row>
    <row r="4">
      <c r="A4" s="2" t="s">
        <v>2</v>
      </c>
    </row>
    <row r="5">
      <c r="A5" s="1" t="s">
        <v>3</v>
      </c>
    </row>
    <row r="6">
      <c r="A6" s="3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</sheetData>
  <conditionalFormatting sqref="A7:A10">
    <cfRule type="expression" dxfId="0" priority="1">
      <formula>#REF!&gt;0</formula>
    </cfRule>
  </conditionalFormatting>
  <hyperlinks>
    <hyperlink r:id="rId1" ref="A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78"/>
    <col customWidth="1" min="2" max="2" width="70.78"/>
  </cols>
  <sheetData>
    <row r="1">
      <c r="A1" s="4" t="s">
        <v>8</v>
      </c>
      <c r="B1" s="4" t="s">
        <v>9</v>
      </c>
      <c r="C1" s="4" t="s">
        <v>2</v>
      </c>
    </row>
    <row r="2">
      <c r="A2" s="5">
        <v>45581.0</v>
      </c>
      <c r="B2" s="6" t="s">
        <v>10</v>
      </c>
      <c r="C2" s="7" t="s">
        <v>11</v>
      </c>
    </row>
    <row r="3">
      <c r="A3" s="8" t="s">
        <v>12</v>
      </c>
      <c r="B3" s="9" t="s">
        <v>13</v>
      </c>
    </row>
    <row r="4">
      <c r="A4" s="10">
        <v>45588.0</v>
      </c>
      <c r="B4" s="11" t="s">
        <v>14</v>
      </c>
    </row>
    <row r="5">
      <c r="A5" s="8" t="s">
        <v>15</v>
      </c>
      <c r="B5" s="9" t="s">
        <v>13</v>
      </c>
    </row>
    <row r="6">
      <c r="A6" s="8" t="s">
        <v>16</v>
      </c>
      <c r="B6" s="9" t="s">
        <v>17</v>
      </c>
      <c r="C6" s="12"/>
    </row>
    <row r="7">
      <c r="A7" s="13">
        <v>45600.0</v>
      </c>
      <c r="B7" s="9" t="s">
        <v>18</v>
      </c>
      <c r="C7" s="7" t="s">
        <v>19</v>
      </c>
    </row>
    <row r="8">
      <c r="A8" s="13">
        <v>45605.0</v>
      </c>
      <c r="B8" s="9" t="s">
        <v>17</v>
      </c>
    </row>
    <row r="9">
      <c r="A9" s="13">
        <v>45606.0</v>
      </c>
      <c r="B9" s="9" t="s">
        <v>13</v>
      </c>
    </row>
    <row r="10">
      <c r="A10" s="13">
        <v>45609.0</v>
      </c>
      <c r="B10" s="9" t="s">
        <v>20</v>
      </c>
      <c r="C10" s="7" t="s">
        <v>19</v>
      </c>
    </row>
    <row r="11">
      <c r="A11" s="5">
        <v>45610.0</v>
      </c>
      <c r="B11" s="6" t="s">
        <v>10</v>
      </c>
    </row>
    <row r="12">
      <c r="A12" s="8" t="s">
        <v>21</v>
      </c>
      <c r="B12" s="9" t="s">
        <v>22</v>
      </c>
    </row>
    <row r="13">
      <c r="A13" s="8" t="s">
        <v>23</v>
      </c>
      <c r="B13" s="9" t="s">
        <v>22</v>
      </c>
    </row>
    <row r="14">
      <c r="A14" s="13">
        <v>45624.0</v>
      </c>
      <c r="B14" s="9" t="s">
        <v>17</v>
      </c>
    </row>
    <row r="15">
      <c r="A15" s="5">
        <v>45640.0</v>
      </c>
      <c r="B15" s="6" t="s">
        <v>24</v>
      </c>
    </row>
    <row r="16">
      <c r="A16" s="8" t="s">
        <v>25</v>
      </c>
      <c r="B16" s="9" t="s">
        <v>13</v>
      </c>
    </row>
    <row r="17">
      <c r="A17" s="13">
        <v>45649.0</v>
      </c>
      <c r="B17" s="9" t="s">
        <v>26</v>
      </c>
    </row>
    <row r="18">
      <c r="A18" s="8" t="s">
        <v>27</v>
      </c>
      <c r="B18" s="9" t="s">
        <v>28</v>
      </c>
    </row>
    <row r="19">
      <c r="A19" s="5">
        <v>45670.0</v>
      </c>
      <c r="B19" s="6" t="s">
        <v>24</v>
      </c>
    </row>
    <row r="20">
      <c r="A20" s="5">
        <v>45700.0</v>
      </c>
      <c r="B20" s="6" t="s">
        <v>24</v>
      </c>
    </row>
    <row r="21">
      <c r="A21" s="9" t="s">
        <v>29</v>
      </c>
      <c r="B21" s="9" t="s">
        <v>30</v>
      </c>
    </row>
    <row r="22">
      <c r="A22" s="8" t="s">
        <v>31</v>
      </c>
      <c r="B22" s="9" t="s">
        <v>22</v>
      </c>
      <c r="C22" s="11"/>
    </row>
    <row r="23">
      <c r="A23" s="5">
        <v>45716.0</v>
      </c>
      <c r="B23" s="6" t="s">
        <v>24</v>
      </c>
    </row>
    <row r="24">
      <c r="A24" s="8" t="s">
        <v>32</v>
      </c>
      <c r="B24" s="9" t="s">
        <v>22</v>
      </c>
    </row>
    <row r="25">
      <c r="A25" s="6" t="s">
        <v>33</v>
      </c>
      <c r="B25" s="6" t="s">
        <v>24</v>
      </c>
      <c r="C25" s="14" t="s">
        <v>34</v>
      </c>
    </row>
    <row r="26">
      <c r="A26" s="13">
        <v>45750.0</v>
      </c>
      <c r="B26" s="9" t="s">
        <v>35</v>
      </c>
    </row>
    <row r="27">
      <c r="A27" s="15" t="s">
        <v>36</v>
      </c>
      <c r="B27" s="15" t="s">
        <v>24</v>
      </c>
    </row>
    <row r="28">
      <c r="A28" s="13">
        <v>45782.0</v>
      </c>
      <c r="B28" s="9" t="s">
        <v>35</v>
      </c>
    </row>
    <row r="29">
      <c r="A29" s="8" t="s">
        <v>37</v>
      </c>
      <c r="B29" s="9" t="s">
        <v>26</v>
      </c>
    </row>
    <row r="30">
      <c r="A30" s="8" t="s">
        <v>38</v>
      </c>
      <c r="B30" s="9" t="s">
        <v>26</v>
      </c>
    </row>
    <row r="31">
      <c r="A31" s="13">
        <v>45800.0</v>
      </c>
      <c r="B31" s="9" t="s">
        <v>39</v>
      </c>
    </row>
    <row r="32">
      <c r="A32" s="15" t="s">
        <v>40</v>
      </c>
      <c r="B32" s="15" t="s">
        <v>24</v>
      </c>
    </row>
    <row r="33">
      <c r="A33" s="6" t="s">
        <v>41</v>
      </c>
      <c r="B33" s="6" t="s">
        <v>24</v>
      </c>
    </row>
    <row r="34">
      <c r="A34" s="9" t="s">
        <v>42</v>
      </c>
      <c r="B34" s="9" t="s">
        <v>26</v>
      </c>
    </row>
  </sheetData>
  <hyperlinks>
    <hyperlink r:id="rId1" ref="C2"/>
    <hyperlink r:id="rId2" ref="C7"/>
    <hyperlink r:id="rId3" ref="C10"/>
    <hyperlink r:id="rId4" ref="C2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22"/>
    <col customWidth="1" min="3" max="3" width="30.0"/>
    <col customWidth="1" min="4" max="4" width="34.78"/>
    <col customWidth="1" min="5" max="9" width="10.56"/>
    <col customWidth="1" min="10" max="10" width="13.56"/>
    <col customWidth="1" min="11" max="11" width="10.56"/>
    <col customWidth="1" min="12" max="12" width="12.67"/>
    <col customWidth="1" min="13" max="13" width="10.56"/>
    <col customWidth="1" min="14" max="14" width="17.22"/>
    <col customWidth="1" min="15" max="15" width="14.33"/>
    <col customWidth="1" min="16" max="16" width="13.22"/>
    <col customWidth="1" min="17" max="17" width="10.56"/>
    <col customWidth="1" min="18" max="18" width="17.67"/>
    <col customWidth="1" min="19" max="25" width="10.56"/>
  </cols>
  <sheetData>
    <row r="1">
      <c r="A1" s="16" t="s">
        <v>43</v>
      </c>
      <c r="B1" s="4" t="s">
        <v>44</v>
      </c>
      <c r="C1" s="4" t="s">
        <v>9</v>
      </c>
      <c r="D1" s="17" t="s">
        <v>45</v>
      </c>
      <c r="E1" s="17" t="s">
        <v>46</v>
      </c>
      <c r="F1" s="17" t="s">
        <v>47</v>
      </c>
      <c r="G1" s="18" t="s">
        <v>48</v>
      </c>
      <c r="H1" s="18" t="s">
        <v>49</v>
      </c>
      <c r="I1" s="18" t="s">
        <v>50</v>
      </c>
      <c r="J1" s="4" t="s">
        <v>2</v>
      </c>
      <c r="K1" s="4" t="s">
        <v>51</v>
      </c>
      <c r="L1" s="4" t="s">
        <v>52</v>
      </c>
      <c r="M1" s="4" t="s">
        <v>53</v>
      </c>
      <c r="N1" s="16" t="s">
        <v>54</v>
      </c>
      <c r="O1" s="16" t="s">
        <v>55</v>
      </c>
      <c r="P1" s="16" t="s">
        <v>56</v>
      </c>
      <c r="Q1" s="19" t="s">
        <v>57</v>
      </c>
      <c r="R1" s="16" t="s">
        <v>58</v>
      </c>
      <c r="T1" s="20" t="s">
        <v>59</v>
      </c>
    </row>
    <row r="2" ht="15.75" customHeight="1">
      <c r="A2" s="21">
        <v>45584.905127314814</v>
      </c>
      <c r="B2" s="22">
        <f t="shared" ref="B2:B28" si="1">A2-time(11,0,0)</f>
        <v>45584.44679</v>
      </c>
      <c r="C2" s="11" t="s">
        <v>60</v>
      </c>
      <c r="D2" s="11" t="s">
        <v>61</v>
      </c>
      <c r="E2" s="12">
        <v>-14.3228</v>
      </c>
      <c r="F2" s="12">
        <v>-170.7145</v>
      </c>
      <c r="G2" s="12" t="s">
        <v>62</v>
      </c>
      <c r="H2" s="12" t="s">
        <v>63</v>
      </c>
      <c r="I2" s="12">
        <f>18.4180302051585</f>
        <v>18.41803021</v>
      </c>
      <c r="J2" s="12"/>
      <c r="K2" s="11" t="s">
        <v>64</v>
      </c>
      <c r="L2" s="11" t="s">
        <v>65</v>
      </c>
      <c r="M2" s="11"/>
      <c r="N2" s="11">
        <v>-0.69</v>
      </c>
      <c r="O2" s="11">
        <v>-1.18</v>
      </c>
      <c r="P2" s="23">
        <f t="shared" ref="P2:P28" si="2">N2-O2</f>
        <v>0.49</v>
      </c>
      <c r="Q2" s="24">
        <f t="shared" ref="Q2:Q28" si="3">P2/3.281</f>
        <v>0.149344712</v>
      </c>
      <c r="R2" s="11">
        <v>0.0</v>
      </c>
      <c r="S2" s="12"/>
      <c r="T2" s="12" t="s">
        <v>66</v>
      </c>
      <c r="U2" s="12"/>
      <c r="V2" s="12"/>
      <c r="W2" s="12"/>
      <c r="X2" s="12"/>
      <c r="Y2" s="12"/>
    </row>
    <row r="3" ht="15.75" customHeight="1">
      <c r="A3" s="25">
        <v>45611.35569444444</v>
      </c>
      <c r="B3" s="22">
        <f t="shared" si="1"/>
        <v>45610.89736</v>
      </c>
      <c r="C3" s="11" t="s">
        <v>24</v>
      </c>
      <c r="D3" s="12" t="s">
        <v>67</v>
      </c>
      <c r="E3" s="12">
        <v>-14.3215</v>
      </c>
      <c r="F3" s="12">
        <v>-170.715</v>
      </c>
      <c r="G3" s="12" t="s">
        <v>68</v>
      </c>
      <c r="H3" s="12" t="s">
        <v>69</v>
      </c>
      <c r="I3" s="12">
        <f>24.5961499988875</f>
        <v>24.59615</v>
      </c>
      <c r="K3" s="11" t="s">
        <v>64</v>
      </c>
      <c r="L3" s="11" t="s">
        <v>65</v>
      </c>
      <c r="M3" s="11"/>
      <c r="N3" s="11">
        <v>-2.06</v>
      </c>
      <c r="O3" s="11">
        <v>-1.18</v>
      </c>
      <c r="P3" s="23">
        <f t="shared" si="2"/>
        <v>-0.88</v>
      </c>
      <c r="Q3" s="24">
        <f t="shared" si="3"/>
        <v>-0.2682109113</v>
      </c>
      <c r="R3" s="11">
        <v>0.0</v>
      </c>
      <c r="T3" s="12" t="s">
        <v>70</v>
      </c>
    </row>
    <row r="4" ht="15.75" customHeight="1">
      <c r="A4" s="25">
        <v>45617.90069444444</v>
      </c>
      <c r="B4" s="22">
        <f t="shared" si="1"/>
        <v>45617.44236</v>
      </c>
      <c r="C4" s="11" t="s">
        <v>71</v>
      </c>
      <c r="D4" s="12" t="s">
        <v>72</v>
      </c>
      <c r="E4" s="12">
        <v>-14.3187</v>
      </c>
      <c r="F4" s="12">
        <v>-170.7145</v>
      </c>
      <c r="G4" s="12" t="s">
        <v>62</v>
      </c>
      <c r="H4" s="12" t="s">
        <v>63</v>
      </c>
      <c r="I4" s="12">
        <f>34.1711972241105</f>
        <v>34.17119722</v>
      </c>
      <c r="J4" s="12"/>
      <c r="K4" s="11" t="s">
        <v>64</v>
      </c>
      <c r="L4" s="11" t="s">
        <v>64</v>
      </c>
      <c r="M4" s="11"/>
      <c r="N4" s="11">
        <v>-0.85</v>
      </c>
      <c r="O4" s="11">
        <v>-1.18</v>
      </c>
      <c r="P4" s="23">
        <f t="shared" si="2"/>
        <v>0.33</v>
      </c>
      <c r="Q4" s="24">
        <f t="shared" si="3"/>
        <v>0.1005790917</v>
      </c>
      <c r="R4" s="11">
        <v>0.0</v>
      </c>
      <c r="S4" s="12"/>
      <c r="T4" s="12" t="s">
        <v>73</v>
      </c>
      <c r="U4" s="12"/>
      <c r="V4" s="12"/>
      <c r="W4" s="12"/>
      <c r="X4" s="12"/>
      <c r="Y4" s="12"/>
    </row>
    <row r="5" ht="15.75" customHeight="1">
      <c r="A5" s="25">
        <v>45644.428125</v>
      </c>
      <c r="B5" s="22">
        <f t="shared" si="1"/>
        <v>45643.96979</v>
      </c>
      <c r="C5" s="11" t="s">
        <v>26</v>
      </c>
      <c r="D5" s="12" t="s">
        <v>74</v>
      </c>
      <c r="E5" s="12">
        <v>-14.3205</v>
      </c>
      <c r="F5" s="12">
        <v>-170.7159</v>
      </c>
      <c r="G5" s="12" t="s">
        <v>68</v>
      </c>
      <c r="H5" s="12" t="s">
        <v>63</v>
      </c>
      <c r="I5" s="12">
        <f>34.2215974100354</f>
        <v>34.22159741</v>
      </c>
      <c r="J5" s="12"/>
      <c r="K5" s="11" t="s">
        <v>64</v>
      </c>
      <c r="L5" s="11" t="s">
        <v>64</v>
      </c>
      <c r="M5" s="11" t="s">
        <v>75</v>
      </c>
      <c r="N5" s="11">
        <v>-0.22</v>
      </c>
      <c r="O5" s="11">
        <v>-1.18</v>
      </c>
      <c r="P5" s="23">
        <f t="shared" si="2"/>
        <v>0.96</v>
      </c>
      <c r="Q5" s="24">
        <f t="shared" si="3"/>
        <v>0.2925937214</v>
      </c>
      <c r="R5" s="11">
        <v>0.0</v>
      </c>
      <c r="S5" s="12"/>
      <c r="T5" s="12"/>
      <c r="U5" s="12"/>
      <c r="V5" s="12"/>
      <c r="W5" s="12"/>
      <c r="X5" s="12"/>
      <c r="Y5" s="12"/>
    </row>
    <row r="6" ht="15.75" customHeight="1">
      <c r="A6" s="25">
        <v>45645.35435185185</v>
      </c>
      <c r="B6" s="22">
        <f t="shared" si="1"/>
        <v>45644.89602</v>
      </c>
      <c r="C6" s="11" t="s">
        <v>26</v>
      </c>
      <c r="D6" s="12" t="s">
        <v>76</v>
      </c>
      <c r="E6" s="12">
        <v>-14.3226</v>
      </c>
      <c r="F6" s="12">
        <v>-170.7139</v>
      </c>
      <c r="G6" s="12" t="s">
        <v>68</v>
      </c>
      <c r="H6" s="12" t="s">
        <v>69</v>
      </c>
      <c r="I6" s="12">
        <f>31.4468782309686</f>
        <v>31.44687823</v>
      </c>
      <c r="J6" s="12"/>
      <c r="K6" s="11" t="s">
        <v>64</v>
      </c>
      <c r="L6" s="11" t="s">
        <v>65</v>
      </c>
      <c r="M6" s="11" t="s">
        <v>75</v>
      </c>
      <c r="N6" s="11">
        <v>-0.04</v>
      </c>
      <c r="O6" s="11">
        <v>-1.18</v>
      </c>
      <c r="P6" s="23">
        <f t="shared" si="2"/>
        <v>1.14</v>
      </c>
      <c r="Q6" s="24">
        <f t="shared" si="3"/>
        <v>0.3474550442</v>
      </c>
      <c r="R6" s="11">
        <v>0.0</v>
      </c>
      <c r="S6" s="12"/>
      <c r="T6" s="12"/>
      <c r="U6" s="12"/>
      <c r="V6" s="12"/>
      <c r="W6" s="12"/>
      <c r="X6" s="12"/>
      <c r="Y6" s="12"/>
    </row>
    <row r="7" ht="15.75" customHeight="1">
      <c r="A7" s="25">
        <v>45663.365115740744</v>
      </c>
      <c r="B7" s="22">
        <f t="shared" si="1"/>
        <v>45662.90678</v>
      </c>
      <c r="C7" s="11" t="s">
        <v>77</v>
      </c>
      <c r="D7" s="12" t="s">
        <v>78</v>
      </c>
      <c r="E7" s="12">
        <v>-14.3225</v>
      </c>
      <c r="F7" s="12">
        <v>-170.7119</v>
      </c>
      <c r="G7" s="12" t="s">
        <v>68</v>
      </c>
      <c r="H7" s="12" t="s">
        <v>63</v>
      </c>
      <c r="I7" s="12">
        <f>23.1312133195982</f>
        <v>23.13121332</v>
      </c>
      <c r="J7" s="11" t="s">
        <v>79</v>
      </c>
      <c r="K7" s="11" t="s">
        <v>64</v>
      </c>
      <c r="L7" s="11" t="s">
        <v>64</v>
      </c>
      <c r="M7" s="11" t="s">
        <v>75</v>
      </c>
      <c r="N7" s="11">
        <v>-0.57</v>
      </c>
      <c r="O7" s="11">
        <v>-1.18</v>
      </c>
      <c r="P7" s="23">
        <f t="shared" si="2"/>
        <v>0.61</v>
      </c>
      <c r="Q7" s="24">
        <f t="shared" si="3"/>
        <v>0.1859189272</v>
      </c>
      <c r="R7" s="11">
        <v>0.0</v>
      </c>
      <c r="S7" s="12"/>
      <c r="T7" s="12"/>
      <c r="U7" s="12"/>
      <c r="V7" s="12"/>
      <c r="W7" s="12"/>
      <c r="X7" s="12"/>
      <c r="Y7" s="12"/>
    </row>
    <row r="8" ht="15.75" customHeight="1">
      <c r="A8" s="25">
        <v>45666.40361111111</v>
      </c>
      <c r="B8" s="22">
        <f t="shared" si="1"/>
        <v>45665.94528</v>
      </c>
      <c r="C8" s="11" t="s">
        <v>71</v>
      </c>
      <c r="D8" s="12" t="s">
        <v>80</v>
      </c>
      <c r="E8" s="12">
        <v>-14.3219</v>
      </c>
      <c r="F8" s="12">
        <v>-170.7139</v>
      </c>
      <c r="G8" s="12" t="s">
        <v>68</v>
      </c>
      <c r="H8" s="12" t="s">
        <v>69</v>
      </c>
      <c r="I8" s="12">
        <f>29.4822352300791</f>
        <v>29.48223523</v>
      </c>
      <c r="K8" s="11" t="s">
        <v>64</v>
      </c>
      <c r="L8" s="11" t="s">
        <v>64</v>
      </c>
      <c r="M8" s="11" t="s">
        <v>75</v>
      </c>
      <c r="N8" s="11">
        <v>-1.98</v>
      </c>
      <c r="O8" s="11">
        <v>-1.18</v>
      </c>
      <c r="P8" s="23">
        <f t="shared" si="2"/>
        <v>-0.8</v>
      </c>
      <c r="Q8" s="24">
        <f t="shared" si="3"/>
        <v>-0.2438281012</v>
      </c>
      <c r="R8" s="11">
        <v>0.0</v>
      </c>
    </row>
    <row r="9" ht="15.75" customHeight="1">
      <c r="A9" s="25">
        <v>45667.90199074074</v>
      </c>
      <c r="B9" s="22">
        <f t="shared" si="1"/>
        <v>45667.44366</v>
      </c>
      <c r="C9" s="11" t="s">
        <v>71</v>
      </c>
      <c r="D9" s="12" t="s">
        <v>81</v>
      </c>
      <c r="E9" s="12">
        <v>-14.3206</v>
      </c>
      <c r="F9" s="12">
        <v>-170.714</v>
      </c>
      <c r="G9" s="12" t="s">
        <v>62</v>
      </c>
      <c r="H9" s="12" t="s">
        <v>63</v>
      </c>
      <c r="I9" s="12">
        <f>34.3750257110465</f>
        <v>34.37502571</v>
      </c>
      <c r="K9" s="11" t="s">
        <v>64</v>
      </c>
      <c r="L9" s="11" t="s">
        <v>65</v>
      </c>
      <c r="M9" s="11"/>
      <c r="N9" s="11">
        <v>-2.47</v>
      </c>
      <c r="O9" s="11">
        <v>-1.18</v>
      </c>
      <c r="P9" s="23">
        <f t="shared" si="2"/>
        <v>-1.29</v>
      </c>
      <c r="Q9" s="24">
        <f t="shared" si="3"/>
        <v>-0.3931728132</v>
      </c>
      <c r="R9" s="11">
        <v>0.09</v>
      </c>
    </row>
    <row r="10" ht="15.75" customHeight="1">
      <c r="A10" s="25">
        <v>45698.85803240741</v>
      </c>
      <c r="B10" s="22">
        <f t="shared" si="1"/>
        <v>45698.3997</v>
      </c>
      <c r="C10" s="11" t="s">
        <v>82</v>
      </c>
      <c r="D10" s="12" t="s">
        <v>83</v>
      </c>
      <c r="E10" s="12">
        <v>-14.3187</v>
      </c>
      <c r="F10" s="12">
        <v>-170.7151</v>
      </c>
      <c r="G10" s="11" t="s">
        <v>62</v>
      </c>
      <c r="H10" s="11" t="s">
        <v>69</v>
      </c>
      <c r="I10" s="12">
        <f>22.2441407570356</f>
        <v>22.24414076</v>
      </c>
      <c r="K10" s="11" t="s">
        <v>64</v>
      </c>
      <c r="L10" s="11" t="s">
        <v>64</v>
      </c>
      <c r="M10" s="11" t="s">
        <v>75</v>
      </c>
      <c r="N10" s="11">
        <v>-1.83</v>
      </c>
      <c r="O10" s="11">
        <v>-1.18</v>
      </c>
      <c r="P10" s="23">
        <f t="shared" si="2"/>
        <v>-0.65</v>
      </c>
      <c r="Q10" s="24">
        <f t="shared" si="3"/>
        <v>-0.1981103322</v>
      </c>
      <c r="R10" s="11">
        <v>0.0</v>
      </c>
    </row>
    <row r="11" ht="15.75" customHeight="1">
      <c r="A11" s="25">
        <v>45702.85425925926</v>
      </c>
      <c r="B11" s="22">
        <f t="shared" si="1"/>
        <v>45702.39593</v>
      </c>
      <c r="C11" s="11" t="s">
        <v>30</v>
      </c>
      <c r="D11" s="26" t="s">
        <v>84</v>
      </c>
      <c r="E11" s="27">
        <v>-14.3222</v>
      </c>
      <c r="F11" s="27">
        <v>-170.7142</v>
      </c>
      <c r="G11" s="11" t="s">
        <v>62</v>
      </c>
      <c r="H11" s="11" t="s">
        <v>69</v>
      </c>
      <c r="I11" s="12">
        <f>27.9019255166552</f>
        <v>27.90192552</v>
      </c>
      <c r="J11" s="12"/>
      <c r="K11" s="11" t="s">
        <v>64</v>
      </c>
      <c r="L11" s="11" t="s">
        <v>65</v>
      </c>
      <c r="M11" s="11"/>
      <c r="N11" s="11">
        <v>-0.07</v>
      </c>
      <c r="O11" s="11">
        <v>-1.18</v>
      </c>
      <c r="P11" s="23">
        <f t="shared" si="2"/>
        <v>1.11</v>
      </c>
      <c r="Q11" s="24">
        <f t="shared" si="3"/>
        <v>0.3383114904</v>
      </c>
      <c r="R11" s="11">
        <v>0.0</v>
      </c>
      <c r="S11" s="12"/>
      <c r="T11" s="12"/>
      <c r="U11" s="12"/>
      <c r="V11" s="12"/>
      <c r="W11" s="12"/>
      <c r="X11" s="12"/>
      <c r="Y11" s="12"/>
    </row>
    <row r="12" ht="15.75" customHeight="1">
      <c r="A12" s="25">
        <v>45706.41585648148</v>
      </c>
      <c r="B12" s="22">
        <f t="shared" si="1"/>
        <v>45705.95752</v>
      </c>
      <c r="C12" s="11" t="s">
        <v>71</v>
      </c>
      <c r="D12" s="26" t="s">
        <v>85</v>
      </c>
      <c r="E12" s="27">
        <v>-14.322</v>
      </c>
      <c r="F12" s="27">
        <v>-170.7137</v>
      </c>
      <c r="G12" s="11" t="s">
        <v>68</v>
      </c>
      <c r="H12" s="11" t="s">
        <v>63</v>
      </c>
      <c r="I12" s="12">
        <f> 33.243073845239</f>
        <v>33.24307385</v>
      </c>
      <c r="J12" s="12"/>
      <c r="K12" s="11" t="s">
        <v>64</v>
      </c>
      <c r="L12" s="11" t="s">
        <v>65</v>
      </c>
      <c r="M12" s="11" t="s">
        <v>75</v>
      </c>
      <c r="N12" s="11">
        <v>-0.2</v>
      </c>
      <c r="O12" s="11">
        <v>-1.18</v>
      </c>
      <c r="P12" s="23">
        <f t="shared" si="2"/>
        <v>0.98</v>
      </c>
      <c r="Q12" s="24">
        <f t="shared" si="3"/>
        <v>0.298689424</v>
      </c>
      <c r="R12" s="11">
        <v>0.0</v>
      </c>
      <c r="S12" s="12"/>
      <c r="T12" s="12"/>
      <c r="U12" s="12"/>
      <c r="V12" s="12"/>
      <c r="W12" s="12"/>
      <c r="X12" s="12"/>
      <c r="Y12" s="12"/>
    </row>
    <row r="13" ht="15.75" customHeight="1">
      <c r="A13" s="25">
        <v>45728.364895833336</v>
      </c>
      <c r="B13" s="22">
        <f t="shared" si="1"/>
        <v>45727.90656</v>
      </c>
      <c r="C13" s="11" t="s">
        <v>82</v>
      </c>
      <c r="D13" s="11" t="s">
        <v>86</v>
      </c>
      <c r="E13" s="27">
        <v>-14.3247</v>
      </c>
      <c r="F13" s="27">
        <v>-170.7133</v>
      </c>
      <c r="G13" s="11" t="s">
        <v>68</v>
      </c>
      <c r="H13" s="11" t="s">
        <v>63</v>
      </c>
      <c r="I13" s="11">
        <v>20.1302706207775</v>
      </c>
      <c r="K13" s="11" t="s">
        <v>64</v>
      </c>
      <c r="L13" s="11" t="s">
        <v>64</v>
      </c>
      <c r="M13" s="11"/>
      <c r="N13" s="11">
        <v>-1.82</v>
      </c>
      <c r="O13" s="11">
        <v>-1.18</v>
      </c>
      <c r="P13" s="23">
        <f t="shared" si="2"/>
        <v>-0.64</v>
      </c>
      <c r="Q13" s="24">
        <f t="shared" si="3"/>
        <v>-0.195062481</v>
      </c>
      <c r="R13" s="11">
        <v>0.0</v>
      </c>
    </row>
    <row r="14" ht="15.75" customHeight="1">
      <c r="A14" s="25">
        <v>45736.91840277778</v>
      </c>
      <c r="B14" s="22">
        <f t="shared" si="1"/>
        <v>45736.46007</v>
      </c>
      <c r="C14" s="11" t="s">
        <v>71</v>
      </c>
      <c r="D14" s="11" t="s">
        <v>87</v>
      </c>
      <c r="E14" s="27">
        <v>-14.3198</v>
      </c>
      <c r="F14" s="27">
        <v>-170.7157</v>
      </c>
      <c r="G14" s="11" t="s">
        <v>62</v>
      </c>
      <c r="H14" s="11" t="s">
        <v>69</v>
      </c>
      <c r="I14" s="11">
        <v>34.3665524111414</v>
      </c>
      <c r="J14" s="12"/>
      <c r="K14" s="11" t="s">
        <v>64</v>
      </c>
      <c r="L14" s="11" t="s">
        <v>65</v>
      </c>
      <c r="M14" s="11" t="s">
        <v>75</v>
      </c>
      <c r="N14" s="11">
        <v>-0.33</v>
      </c>
      <c r="O14" s="11">
        <v>-1.18</v>
      </c>
      <c r="P14" s="23">
        <f t="shared" si="2"/>
        <v>0.85</v>
      </c>
      <c r="Q14" s="24">
        <f t="shared" si="3"/>
        <v>0.2590673575</v>
      </c>
      <c r="R14" s="11">
        <v>0.0</v>
      </c>
      <c r="S14" s="12"/>
      <c r="T14" s="12"/>
      <c r="U14" s="12"/>
      <c r="V14" s="12"/>
      <c r="W14" s="12"/>
      <c r="X14" s="12"/>
      <c r="Y14" s="12"/>
    </row>
    <row r="15" ht="15.75" customHeight="1">
      <c r="A15" s="25">
        <v>45737.917546296296</v>
      </c>
      <c r="B15" s="22">
        <f t="shared" si="1"/>
        <v>45737.45921</v>
      </c>
      <c r="C15" s="11" t="s">
        <v>71</v>
      </c>
      <c r="D15" s="11" t="s">
        <v>88</v>
      </c>
      <c r="E15" s="27">
        <v>-14.3224</v>
      </c>
      <c r="F15" s="27">
        <v>-170.7154</v>
      </c>
      <c r="G15" s="11" t="s">
        <v>62</v>
      </c>
      <c r="H15" s="11" t="s">
        <v>69</v>
      </c>
      <c r="I15" s="11">
        <v>28.5068315394633</v>
      </c>
      <c r="J15" s="12"/>
      <c r="K15" s="11" t="s">
        <v>64</v>
      </c>
      <c r="L15" s="11" t="s">
        <v>64</v>
      </c>
      <c r="M15" s="11"/>
      <c r="N15" s="11">
        <v>-0.44</v>
      </c>
      <c r="O15" s="11">
        <v>-1.18</v>
      </c>
      <c r="P15" s="23">
        <f t="shared" si="2"/>
        <v>0.74</v>
      </c>
      <c r="Q15" s="24">
        <f t="shared" si="3"/>
        <v>0.2255409936</v>
      </c>
      <c r="R15" s="11">
        <v>0.0</v>
      </c>
      <c r="S15" s="12"/>
      <c r="T15" s="12"/>
      <c r="U15" s="12"/>
      <c r="V15" s="12"/>
      <c r="W15" s="12"/>
      <c r="X15" s="12"/>
      <c r="Y15" s="12"/>
    </row>
    <row r="16" ht="15.75" customHeight="1">
      <c r="A16" s="25">
        <v>45746.405706018515</v>
      </c>
      <c r="B16" s="22">
        <f t="shared" si="1"/>
        <v>45745.94737</v>
      </c>
      <c r="C16" s="11" t="s">
        <v>89</v>
      </c>
      <c r="D16" s="28" t="s">
        <v>90</v>
      </c>
      <c r="E16" s="27">
        <v>-14.3224</v>
      </c>
      <c r="F16" s="27">
        <v>-170.7154</v>
      </c>
      <c r="G16" s="11" t="s">
        <v>68</v>
      </c>
      <c r="H16" s="11" t="s">
        <v>69</v>
      </c>
      <c r="I16" s="11">
        <v>22.5330910661717</v>
      </c>
      <c r="K16" s="11" t="s">
        <v>64</v>
      </c>
      <c r="L16" s="11" t="s">
        <v>65</v>
      </c>
      <c r="M16" s="11" t="s">
        <v>75</v>
      </c>
      <c r="N16" s="11">
        <v>-1.35</v>
      </c>
      <c r="O16" s="11">
        <v>-1.18</v>
      </c>
      <c r="P16" s="23">
        <f t="shared" si="2"/>
        <v>-0.17</v>
      </c>
      <c r="Q16" s="24">
        <f t="shared" si="3"/>
        <v>-0.0518134715</v>
      </c>
      <c r="R16" s="11">
        <v>0.0</v>
      </c>
    </row>
    <row r="17" ht="15.75" customHeight="1">
      <c r="A17" s="25">
        <v>45746.844502314816</v>
      </c>
      <c r="B17" s="22">
        <f t="shared" si="1"/>
        <v>45746.38617</v>
      </c>
      <c r="C17" s="11" t="s">
        <v>89</v>
      </c>
      <c r="D17" s="28" t="s">
        <v>91</v>
      </c>
      <c r="E17" s="27">
        <v>-14.3224</v>
      </c>
      <c r="F17" s="27">
        <v>-170.7154</v>
      </c>
      <c r="G17" s="11" t="s">
        <v>62</v>
      </c>
      <c r="H17" s="11" t="s">
        <v>63</v>
      </c>
      <c r="I17" s="11">
        <v>26.7229085402411</v>
      </c>
      <c r="J17" s="12"/>
      <c r="K17" s="11" t="s">
        <v>64</v>
      </c>
      <c r="L17" s="11" t="s">
        <v>64</v>
      </c>
      <c r="M17" s="11" t="s">
        <v>75</v>
      </c>
      <c r="N17" s="11">
        <v>0.75</v>
      </c>
      <c r="O17" s="11">
        <v>-1.18</v>
      </c>
      <c r="P17" s="23">
        <f t="shared" si="2"/>
        <v>1.93</v>
      </c>
      <c r="Q17" s="24">
        <f t="shared" si="3"/>
        <v>0.5882352941</v>
      </c>
      <c r="R17" s="11">
        <v>0.0</v>
      </c>
      <c r="S17" s="12"/>
      <c r="T17" s="12"/>
      <c r="U17" s="12"/>
      <c r="V17" s="12"/>
      <c r="W17" s="12"/>
      <c r="X17" s="12"/>
      <c r="Y17" s="12"/>
    </row>
    <row r="18" ht="15.75" customHeight="1">
      <c r="A18" s="25">
        <v>45750.90361111111</v>
      </c>
      <c r="B18" s="22">
        <f t="shared" si="1"/>
        <v>45750.44528</v>
      </c>
      <c r="C18" s="11" t="s">
        <v>35</v>
      </c>
      <c r="D18" s="28" t="s">
        <v>92</v>
      </c>
      <c r="E18" s="27">
        <v>-14.3224</v>
      </c>
      <c r="F18" s="27">
        <v>-170.7154</v>
      </c>
      <c r="G18" s="11" t="s">
        <v>62</v>
      </c>
      <c r="H18" s="11" t="s">
        <v>63</v>
      </c>
      <c r="I18" s="11">
        <v>33.4306974816506</v>
      </c>
      <c r="J18" s="12"/>
      <c r="K18" s="11" t="s">
        <v>64</v>
      </c>
      <c r="L18" s="11" t="s">
        <v>64</v>
      </c>
      <c r="M18" s="11" t="s">
        <v>75</v>
      </c>
      <c r="N18" s="11">
        <v>0.28</v>
      </c>
      <c r="O18" s="11">
        <v>-1.18</v>
      </c>
      <c r="P18" s="23">
        <f t="shared" si="2"/>
        <v>1.46</v>
      </c>
      <c r="Q18" s="24">
        <f t="shared" si="3"/>
        <v>0.4449862847</v>
      </c>
      <c r="R18" s="11">
        <v>0.0</v>
      </c>
      <c r="S18" s="12"/>
      <c r="T18" s="12"/>
      <c r="U18" s="12"/>
      <c r="V18" s="12"/>
      <c r="W18" s="12"/>
      <c r="X18" s="12"/>
      <c r="Y18" s="12"/>
    </row>
    <row r="19" ht="15.75" customHeight="1">
      <c r="A19" s="21">
        <v>45760.41453703704</v>
      </c>
      <c r="B19" s="22">
        <f t="shared" si="1"/>
        <v>45759.9562</v>
      </c>
      <c r="C19" s="11" t="s">
        <v>82</v>
      </c>
      <c r="D19" s="26" t="s">
        <v>93</v>
      </c>
      <c r="E19" s="27">
        <v>-14.3224</v>
      </c>
      <c r="F19" s="27">
        <v>-170.7154</v>
      </c>
      <c r="G19" s="11" t="s">
        <v>68</v>
      </c>
      <c r="H19" s="11" t="s">
        <v>63</v>
      </c>
      <c r="I19" s="11">
        <v>19.2877068463147</v>
      </c>
      <c r="K19" s="11" t="s">
        <v>64</v>
      </c>
      <c r="L19" s="11" t="s">
        <v>65</v>
      </c>
      <c r="M19" s="11" t="s">
        <v>75</v>
      </c>
      <c r="N19" s="11">
        <v>-1.36</v>
      </c>
      <c r="O19" s="11">
        <v>-1.18</v>
      </c>
      <c r="P19" s="23">
        <f t="shared" si="2"/>
        <v>-0.18</v>
      </c>
      <c r="Q19" s="24">
        <f t="shared" si="3"/>
        <v>-0.05486132277</v>
      </c>
      <c r="R19" s="11">
        <v>0.0</v>
      </c>
    </row>
    <row r="20" ht="15.75" customHeight="1">
      <c r="A20" s="21">
        <v>45776.36732638889</v>
      </c>
      <c r="B20" s="22">
        <f t="shared" si="1"/>
        <v>45775.90899</v>
      </c>
      <c r="C20" s="11" t="s">
        <v>89</v>
      </c>
      <c r="D20" s="26" t="s">
        <v>94</v>
      </c>
      <c r="E20" s="27">
        <v>-14.3224</v>
      </c>
      <c r="F20" s="27">
        <v>-170.7154</v>
      </c>
      <c r="G20" s="11" t="s">
        <v>68</v>
      </c>
      <c r="H20" s="11" t="s">
        <v>63</v>
      </c>
      <c r="I20" s="11">
        <v>26.0621971282252</v>
      </c>
      <c r="J20" s="11" t="s">
        <v>79</v>
      </c>
      <c r="K20" s="11" t="s">
        <v>64</v>
      </c>
      <c r="L20" s="11" t="s">
        <v>64</v>
      </c>
      <c r="M20" s="11" t="s">
        <v>75</v>
      </c>
      <c r="N20" s="11">
        <v>-0.16</v>
      </c>
      <c r="O20" s="11">
        <v>-1.18</v>
      </c>
      <c r="P20" s="23">
        <f t="shared" si="2"/>
        <v>1.02</v>
      </c>
      <c r="Q20" s="24">
        <f t="shared" si="3"/>
        <v>0.310880829</v>
      </c>
      <c r="R20" s="11">
        <v>0.0</v>
      </c>
      <c r="S20" s="12"/>
      <c r="T20" s="12"/>
      <c r="U20" s="12"/>
      <c r="V20" s="12"/>
      <c r="W20" s="12"/>
      <c r="X20" s="12"/>
      <c r="Y20" s="12"/>
    </row>
    <row r="21" ht="15.75" customHeight="1">
      <c r="A21" s="21">
        <v>45779.920127314814</v>
      </c>
      <c r="B21" s="22">
        <f t="shared" si="1"/>
        <v>45779.46179</v>
      </c>
      <c r="C21" s="11" t="s">
        <v>95</v>
      </c>
      <c r="D21" s="26" t="s">
        <v>96</v>
      </c>
      <c r="E21" s="27">
        <v>-14.3224</v>
      </c>
      <c r="F21" s="27">
        <v>-170.7154</v>
      </c>
      <c r="G21" s="11" t="s">
        <v>62</v>
      </c>
      <c r="H21" s="11" t="s">
        <v>69</v>
      </c>
      <c r="I21" s="11">
        <v>34.1491641123595</v>
      </c>
      <c r="J21" s="12"/>
      <c r="K21" s="11" t="s">
        <v>64</v>
      </c>
      <c r="L21" s="11" t="s">
        <v>65</v>
      </c>
      <c r="M21" s="11" t="s">
        <v>75</v>
      </c>
      <c r="N21" s="11">
        <v>0.27</v>
      </c>
      <c r="O21" s="11">
        <v>-1.18</v>
      </c>
      <c r="P21" s="23">
        <f t="shared" si="2"/>
        <v>1.45</v>
      </c>
      <c r="Q21" s="24">
        <f t="shared" si="3"/>
        <v>0.4419384334</v>
      </c>
      <c r="R21" s="11">
        <v>0.0</v>
      </c>
      <c r="S21" s="12"/>
      <c r="T21" s="12"/>
      <c r="U21" s="12"/>
      <c r="V21" s="12"/>
      <c r="W21" s="12"/>
      <c r="X21" s="12"/>
      <c r="Y21" s="12"/>
    </row>
    <row r="22">
      <c r="A22" s="21">
        <v>45801.43194444444</v>
      </c>
      <c r="B22" s="22">
        <f t="shared" si="1"/>
        <v>45800.97361</v>
      </c>
      <c r="C22" s="11" t="s">
        <v>97</v>
      </c>
      <c r="D22" s="11" t="s">
        <v>98</v>
      </c>
      <c r="E22" s="27">
        <v>-14.3224</v>
      </c>
      <c r="F22" s="27">
        <v>-170.7154</v>
      </c>
      <c r="G22" s="11" t="s">
        <v>68</v>
      </c>
      <c r="H22" s="11" t="s">
        <v>63</v>
      </c>
      <c r="I22" s="11">
        <v>34.1433570913047</v>
      </c>
      <c r="J22" s="11"/>
      <c r="K22" s="11" t="s">
        <v>65</v>
      </c>
      <c r="L22" s="11" t="s">
        <v>65</v>
      </c>
      <c r="M22" s="11" t="s">
        <v>75</v>
      </c>
      <c r="N22" s="11">
        <v>-2.62</v>
      </c>
      <c r="O22" s="11">
        <v>-1.18</v>
      </c>
      <c r="P22" s="23">
        <f t="shared" si="2"/>
        <v>-1.44</v>
      </c>
      <c r="Q22" s="24">
        <f t="shared" si="3"/>
        <v>-0.4388905821</v>
      </c>
      <c r="R22" s="11">
        <v>0.0</v>
      </c>
    </row>
    <row r="23" ht="15.75" customHeight="1">
      <c r="A23" s="21">
        <v>45804.3677662037</v>
      </c>
      <c r="B23" s="22">
        <f t="shared" si="1"/>
        <v>45803.90943</v>
      </c>
      <c r="C23" s="11" t="s">
        <v>99</v>
      </c>
      <c r="D23" s="11" t="s">
        <v>100</v>
      </c>
      <c r="E23" s="27">
        <v>-14.3224</v>
      </c>
      <c r="F23" s="27">
        <v>-170.7154</v>
      </c>
      <c r="G23" s="11" t="s">
        <v>68</v>
      </c>
      <c r="H23" s="11" t="s">
        <v>63</v>
      </c>
      <c r="I23" s="11">
        <v>23.1439143894691</v>
      </c>
      <c r="J23" s="11"/>
      <c r="K23" s="11" t="s">
        <v>65</v>
      </c>
      <c r="L23" s="11" t="s">
        <v>65</v>
      </c>
      <c r="M23" s="11" t="s">
        <v>75</v>
      </c>
      <c r="N23" s="11">
        <v>-1.37</v>
      </c>
      <c r="O23" s="11">
        <v>-1.18</v>
      </c>
      <c r="P23" s="23">
        <f t="shared" si="2"/>
        <v>-0.19</v>
      </c>
      <c r="Q23" s="24">
        <f t="shared" si="3"/>
        <v>-0.05790917403</v>
      </c>
      <c r="R23" s="11">
        <v>0.0</v>
      </c>
    </row>
    <row r="24" ht="15.75" customHeight="1">
      <c r="A24" s="21">
        <v>45806.42017361111</v>
      </c>
      <c r="B24" s="22">
        <f t="shared" si="1"/>
        <v>45805.96184</v>
      </c>
      <c r="C24" s="11" t="s">
        <v>99</v>
      </c>
      <c r="D24" s="26" t="s">
        <v>101</v>
      </c>
      <c r="E24" s="27">
        <v>-14.3224</v>
      </c>
      <c r="F24" s="27">
        <v>-170.7154</v>
      </c>
      <c r="G24" s="11" t="s">
        <v>68</v>
      </c>
      <c r="H24" s="11" t="s">
        <v>69</v>
      </c>
      <c r="I24" s="11">
        <v>23.5159282389218</v>
      </c>
      <c r="J24" s="11"/>
      <c r="K24" s="11" t="s">
        <v>65</v>
      </c>
      <c r="L24" s="11" t="s">
        <v>65</v>
      </c>
      <c r="M24" s="11" t="s">
        <v>75</v>
      </c>
      <c r="N24" s="11">
        <v>-0.79</v>
      </c>
      <c r="O24" s="11">
        <v>-1.18</v>
      </c>
      <c r="P24" s="23">
        <f t="shared" si="2"/>
        <v>0.39</v>
      </c>
      <c r="Q24" s="24">
        <f t="shared" si="3"/>
        <v>0.1188661993</v>
      </c>
      <c r="R24" s="11">
        <v>0.0</v>
      </c>
      <c r="S24" s="12"/>
      <c r="T24" s="12"/>
      <c r="U24" s="12"/>
      <c r="V24" s="12"/>
      <c r="W24" s="12"/>
      <c r="X24" s="12"/>
      <c r="Y24" s="12"/>
    </row>
    <row r="25" ht="15.75" customHeight="1">
      <c r="A25" s="21">
        <v>45827.429606481484</v>
      </c>
      <c r="B25" s="22">
        <f t="shared" si="1"/>
        <v>45826.97127</v>
      </c>
      <c r="C25" s="11" t="s">
        <v>99</v>
      </c>
      <c r="D25" s="26" t="s">
        <v>102</v>
      </c>
      <c r="E25" s="27">
        <v>-14.3224</v>
      </c>
      <c r="F25" s="27">
        <v>-170.7154</v>
      </c>
      <c r="G25" s="11" t="s">
        <v>68</v>
      </c>
      <c r="H25" s="11" t="s">
        <v>63</v>
      </c>
      <c r="I25" s="11">
        <v>23.0782236084627</v>
      </c>
      <c r="J25" s="11"/>
      <c r="K25" s="11" t="s">
        <v>65</v>
      </c>
      <c r="L25" s="11" t="s">
        <v>65</v>
      </c>
      <c r="M25" s="11" t="s">
        <v>75</v>
      </c>
      <c r="N25" s="11">
        <v>-0.91</v>
      </c>
      <c r="O25" s="11">
        <v>-1.18</v>
      </c>
      <c r="P25" s="23">
        <f t="shared" si="2"/>
        <v>0.27</v>
      </c>
      <c r="Q25" s="24">
        <f t="shared" si="3"/>
        <v>0.08229198415</v>
      </c>
      <c r="R25" s="11">
        <v>0.01</v>
      </c>
    </row>
    <row r="26" ht="15.75" customHeight="1">
      <c r="A26" s="21">
        <v>45832.919907407406</v>
      </c>
      <c r="B26" s="22">
        <f t="shared" si="1"/>
        <v>45832.46157</v>
      </c>
      <c r="C26" s="11" t="s">
        <v>97</v>
      </c>
      <c r="D26" s="11" t="s">
        <v>103</v>
      </c>
      <c r="E26" s="27">
        <v>-14.3224</v>
      </c>
      <c r="F26" s="27">
        <v>-170.7154</v>
      </c>
      <c r="G26" s="11" t="s">
        <v>62</v>
      </c>
      <c r="H26" s="11" t="s">
        <v>69</v>
      </c>
      <c r="I26" s="11">
        <v>21.7554667796736</v>
      </c>
      <c r="K26" s="11" t="s">
        <v>65</v>
      </c>
      <c r="L26" s="11" t="s">
        <v>65</v>
      </c>
      <c r="M26" s="11" t="s">
        <v>75</v>
      </c>
      <c r="N26" s="11">
        <v>-2.22</v>
      </c>
      <c r="O26" s="11">
        <v>-1.18</v>
      </c>
      <c r="P26" s="23">
        <f t="shared" si="2"/>
        <v>-1.04</v>
      </c>
      <c r="Q26" s="24">
        <f t="shared" si="3"/>
        <v>-0.3169765315</v>
      </c>
      <c r="R26" s="11">
        <v>0.0</v>
      </c>
    </row>
    <row r="27" ht="15.75" customHeight="1">
      <c r="A27" s="21">
        <v>45836.90759259259</v>
      </c>
      <c r="B27" s="22">
        <f t="shared" si="1"/>
        <v>45836.44926</v>
      </c>
      <c r="C27" s="11" t="s">
        <v>104</v>
      </c>
      <c r="D27" s="11" t="s">
        <v>105</v>
      </c>
      <c r="E27" s="27">
        <v>-14.3224</v>
      </c>
      <c r="F27" s="27">
        <v>-170.7154</v>
      </c>
      <c r="G27" s="11" t="s">
        <v>62</v>
      </c>
      <c r="H27" s="11" t="s">
        <v>63</v>
      </c>
      <c r="I27" s="11">
        <v>33.9835412050827</v>
      </c>
      <c r="J27" s="12"/>
      <c r="K27" s="11" t="s">
        <v>64</v>
      </c>
      <c r="L27" s="11" t="s">
        <v>64</v>
      </c>
      <c r="M27" s="11" t="s">
        <v>75</v>
      </c>
      <c r="N27" s="11">
        <v>0.23</v>
      </c>
      <c r="O27" s="11">
        <v>-1.18</v>
      </c>
      <c r="P27" s="23">
        <f t="shared" si="2"/>
        <v>1.41</v>
      </c>
      <c r="Q27" s="24">
        <f t="shared" si="3"/>
        <v>0.4297470283</v>
      </c>
      <c r="R27" s="11">
        <v>0.0</v>
      </c>
      <c r="S27" s="12"/>
      <c r="T27" s="12"/>
      <c r="U27" s="12"/>
      <c r="V27" s="12"/>
      <c r="W27" s="12"/>
      <c r="X27" s="12"/>
      <c r="Y27" s="12"/>
    </row>
    <row r="28" ht="15.75" customHeight="1">
      <c r="A28" s="21">
        <v>45840.89832175926</v>
      </c>
      <c r="B28" s="22">
        <f t="shared" si="1"/>
        <v>45840.43999</v>
      </c>
      <c r="C28" s="11" t="s">
        <v>106</v>
      </c>
      <c r="D28" s="26" t="s">
        <v>107</v>
      </c>
      <c r="E28" s="27">
        <v>-14.3224</v>
      </c>
      <c r="F28" s="27">
        <v>-170.7154</v>
      </c>
      <c r="G28" s="11" t="s">
        <v>62</v>
      </c>
      <c r="H28" s="11" t="s">
        <v>63</v>
      </c>
      <c r="I28" s="11">
        <v>34.3471797545128</v>
      </c>
      <c r="K28" s="11" t="s">
        <v>64</v>
      </c>
      <c r="L28" s="11" t="s">
        <v>65</v>
      </c>
      <c r="M28" s="11" t="s">
        <v>75</v>
      </c>
      <c r="N28" s="11">
        <v>-0.9</v>
      </c>
      <c r="O28" s="11">
        <v>-1.18</v>
      </c>
      <c r="P28" s="23">
        <f t="shared" si="2"/>
        <v>0.28</v>
      </c>
      <c r="Q28" s="24">
        <f t="shared" si="3"/>
        <v>0.08533983542</v>
      </c>
      <c r="R28" s="11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A2:A30 B2:Y1001 A32:A1001">
    <cfRule type="expression" dxfId="0" priority="1">
      <formula>$N2&gt;0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22"/>
    <col customWidth="1" min="3" max="3" width="28.67"/>
    <col customWidth="1" min="4" max="4" width="34.78"/>
    <col customWidth="1" min="5" max="11" width="10.56"/>
    <col customWidth="1" min="12" max="12" width="11.89"/>
    <col customWidth="1" min="13" max="13" width="10.56"/>
    <col customWidth="1" min="14" max="14" width="18.0"/>
    <col customWidth="1" min="15" max="15" width="16.33"/>
    <col customWidth="1" min="16" max="16" width="13.22"/>
    <col customWidth="1" min="17" max="17" width="10.56"/>
    <col customWidth="1" min="18" max="18" width="18.78"/>
    <col customWidth="1" min="19" max="25" width="10.56"/>
  </cols>
  <sheetData>
    <row r="1" ht="15.75" customHeight="1">
      <c r="A1" s="4" t="s">
        <v>108</v>
      </c>
      <c r="B1" s="4" t="s">
        <v>44</v>
      </c>
      <c r="C1" s="4" t="s">
        <v>9</v>
      </c>
      <c r="D1" s="17" t="s">
        <v>45</v>
      </c>
      <c r="E1" s="17" t="s">
        <v>46</v>
      </c>
      <c r="F1" s="17" t="s">
        <v>47</v>
      </c>
      <c r="G1" s="18" t="s">
        <v>48</v>
      </c>
      <c r="H1" s="18" t="s">
        <v>49</v>
      </c>
      <c r="I1" s="18" t="s">
        <v>50</v>
      </c>
      <c r="J1" s="4" t="s">
        <v>2</v>
      </c>
      <c r="K1" s="4" t="s">
        <v>51</v>
      </c>
      <c r="L1" s="4" t="s">
        <v>52</v>
      </c>
      <c r="M1" s="4" t="s">
        <v>53</v>
      </c>
      <c r="N1" s="16" t="s">
        <v>54</v>
      </c>
      <c r="O1" s="16" t="s">
        <v>55</v>
      </c>
      <c r="P1" s="16" t="s">
        <v>56</v>
      </c>
      <c r="Q1" s="19" t="s">
        <v>57</v>
      </c>
      <c r="R1" s="16" t="s">
        <v>58</v>
      </c>
      <c r="T1" s="20" t="s">
        <v>59</v>
      </c>
    </row>
    <row r="2" ht="15.75" customHeight="1">
      <c r="A2" s="21">
        <v>45710.354409722226</v>
      </c>
      <c r="B2" s="22">
        <f t="shared" ref="B2:B10" si="1">A2-time(11,0,0)</f>
        <v>45709.89608</v>
      </c>
      <c r="C2" s="11" t="s">
        <v>109</v>
      </c>
      <c r="D2" s="26" t="s">
        <v>110</v>
      </c>
      <c r="E2" s="27">
        <v>-14.334</v>
      </c>
      <c r="F2" s="27">
        <v>-170.7424</v>
      </c>
      <c r="G2" s="11" t="s">
        <v>68</v>
      </c>
      <c r="H2" s="11" t="s">
        <v>69</v>
      </c>
      <c r="I2" s="11">
        <v>34.0967164913272</v>
      </c>
      <c r="K2" s="11" t="s">
        <v>64</v>
      </c>
      <c r="L2" s="11" t="s">
        <v>65</v>
      </c>
      <c r="M2" s="11" t="s">
        <v>75</v>
      </c>
      <c r="N2" s="11">
        <v>-2.01</v>
      </c>
      <c r="O2" s="11">
        <v>-1.18</v>
      </c>
      <c r="P2" s="23">
        <f t="shared" ref="P2:P10" si="2">N2-O2</f>
        <v>-0.83</v>
      </c>
      <c r="Q2" s="24">
        <f t="shared" ref="Q2:Q10" si="3">P2/3.281</f>
        <v>-0.252971655</v>
      </c>
      <c r="R2" s="11">
        <v>0.09</v>
      </c>
      <c r="T2" s="12" t="s">
        <v>66</v>
      </c>
    </row>
    <row r="3" ht="15.75" customHeight="1">
      <c r="A3" s="25">
        <v>45730.41746527778</v>
      </c>
      <c r="B3" s="22">
        <f t="shared" si="1"/>
        <v>45729.95913</v>
      </c>
      <c r="C3" s="11" t="s">
        <v>111</v>
      </c>
      <c r="D3" s="26" t="s">
        <v>112</v>
      </c>
      <c r="E3" s="27">
        <v>-14.3358</v>
      </c>
      <c r="F3" s="27">
        <v>-170.7425</v>
      </c>
      <c r="G3" s="11" t="s">
        <v>68</v>
      </c>
      <c r="H3" s="11" t="s">
        <v>69</v>
      </c>
      <c r="I3" s="11">
        <v>22.7235469327466</v>
      </c>
      <c r="K3" s="11" t="s">
        <v>64</v>
      </c>
      <c r="L3" s="11" t="s">
        <v>65</v>
      </c>
      <c r="M3" s="11" t="s">
        <v>75</v>
      </c>
      <c r="N3" s="11">
        <v>-1.55</v>
      </c>
      <c r="O3" s="11">
        <v>-1.18</v>
      </c>
      <c r="P3" s="23">
        <f t="shared" si="2"/>
        <v>-0.37</v>
      </c>
      <c r="Q3" s="24">
        <f t="shared" si="3"/>
        <v>-0.1127704968</v>
      </c>
      <c r="R3" s="11">
        <v>0.0</v>
      </c>
      <c r="T3" s="12" t="s">
        <v>70</v>
      </c>
    </row>
    <row r="4" ht="15.75" customHeight="1">
      <c r="A4" s="25">
        <v>45736.91840277778</v>
      </c>
      <c r="B4" s="22">
        <f t="shared" si="1"/>
        <v>45736.46007</v>
      </c>
      <c r="C4" s="11" t="s">
        <v>71</v>
      </c>
      <c r="D4" s="11" t="s">
        <v>113</v>
      </c>
      <c r="E4" s="27">
        <v>-14.3351</v>
      </c>
      <c r="F4" s="27">
        <v>-170.7455</v>
      </c>
      <c r="G4" s="11" t="s">
        <v>62</v>
      </c>
      <c r="H4" s="11" t="s">
        <v>69</v>
      </c>
      <c r="I4" s="11">
        <v>30.2397550221</v>
      </c>
      <c r="J4" s="12"/>
      <c r="K4" s="11" t="s">
        <v>64</v>
      </c>
      <c r="L4" s="11" t="s">
        <v>64</v>
      </c>
      <c r="M4" s="11" t="s">
        <v>75</v>
      </c>
      <c r="N4" s="11">
        <v>-0.33</v>
      </c>
      <c r="O4" s="11">
        <v>-1.18</v>
      </c>
      <c r="P4" s="23">
        <f t="shared" si="2"/>
        <v>0.85</v>
      </c>
      <c r="Q4" s="24">
        <f t="shared" si="3"/>
        <v>0.2590673575</v>
      </c>
      <c r="R4" s="11">
        <v>0.0</v>
      </c>
      <c r="S4" s="12"/>
      <c r="T4" s="12" t="s">
        <v>73</v>
      </c>
      <c r="U4" s="12"/>
      <c r="V4" s="12"/>
      <c r="W4" s="12"/>
      <c r="X4" s="12"/>
      <c r="Y4" s="12"/>
    </row>
    <row r="5" ht="15.75" customHeight="1">
      <c r="A5" s="25">
        <v>45737.917546296296</v>
      </c>
      <c r="B5" s="22">
        <f t="shared" si="1"/>
        <v>45737.45921</v>
      </c>
      <c r="C5" s="11" t="s">
        <v>71</v>
      </c>
      <c r="D5" s="11" t="s">
        <v>114</v>
      </c>
      <c r="E5" s="27">
        <v>-14.3351</v>
      </c>
      <c r="F5" s="27">
        <v>-170.7421</v>
      </c>
      <c r="G5" s="11" t="s">
        <v>62</v>
      </c>
      <c r="H5" s="11" t="s">
        <v>69</v>
      </c>
      <c r="I5" s="11">
        <v>33.7506287107223</v>
      </c>
      <c r="J5" s="12"/>
      <c r="K5" s="11" t="s">
        <v>64</v>
      </c>
      <c r="L5" s="11" t="s">
        <v>65</v>
      </c>
      <c r="M5" s="12"/>
      <c r="N5" s="11">
        <v>-0.44</v>
      </c>
      <c r="O5" s="11">
        <v>-1.18</v>
      </c>
      <c r="P5" s="23">
        <f t="shared" si="2"/>
        <v>0.74</v>
      </c>
      <c r="Q5" s="24">
        <f t="shared" si="3"/>
        <v>0.2255409936</v>
      </c>
      <c r="R5" s="11">
        <v>0.0</v>
      </c>
      <c r="S5" s="12"/>
      <c r="T5" s="12"/>
      <c r="U5" s="12"/>
      <c r="V5" s="12"/>
      <c r="W5" s="12"/>
      <c r="X5" s="12"/>
      <c r="Y5" s="12"/>
    </row>
    <row r="6" ht="15.75" customHeight="1">
      <c r="A6" s="25">
        <v>45760.41478009259</v>
      </c>
      <c r="B6" s="22">
        <f t="shared" si="1"/>
        <v>45759.95645</v>
      </c>
      <c r="C6" s="11" t="s">
        <v>95</v>
      </c>
      <c r="D6" s="26" t="s">
        <v>115</v>
      </c>
      <c r="E6" s="27">
        <v>-14.3351</v>
      </c>
      <c r="F6" s="27">
        <v>-170.7421</v>
      </c>
      <c r="G6" s="11" t="s">
        <v>68</v>
      </c>
      <c r="H6" s="11" t="s">
        <v>63</v>
      </c>
      <c r="I6" s="11">
        <v>15.192531980483</v>
      </c>
      <c r="K6" s="11" t="s">
        <v>64</v>
      </c>
      <c r="L6" s="11" t="s">
        <v>64</v>
      </c>
      <c r="N6" s="11">
        <v>-1.36</v>
      </c>
      <c r="O6" s="11">
        <v>-1.18</v>
      </c>
      <c r="P6" s="23">
        <f t="shared" si="2"/>
        <v>-0.18</v>
      </c>
      <c r="Q6" s="24">
        <f t="shared" si="3"/>
        <v>-0.05486132277</v>
      </c>
      <c r="R6" s="11">
        <v>0.0</v>
      </c>
    </row>
    <row r="7" ht="15.75" customHeight="1">
      <c r="A7" s="21">
        <v>45784.4087037037</v>
      </c>
      <c r="B7" s="22">
        <f t="shared" si="1"/>
        <v>45783.95037</v>
      </c>
      <c r="C7" s="11" t="s">
        <v>71</v>
      </c>
      <c r="D7" s="26" t="s">
        <v>116</v>
      </c>
      <c r="E7" s="27">
        <v>-14.3351</v>
      </c>
      <c r="F7" s="27">
        <v>-170.7421</v>
      </c>
      <c r="G7" s="11" t="s">
        <v>68</v>
      </c>
      <c r="H7" s="11" t="s">
        <v>69</v>
      </c>
      <c r="I7" s="11">
        <v>17.4884251689425</v>
      </c>
      <c r="J7" s="12"/>
      <c r="K7" s="11" t="s">
        <v>64</v>
      </c>
      <c r="L7" s="11" t="s">
        <v>64</v>
      </c>
      <c r="M7" s="11" t="s">
        <v>75</v>
      </c>
      <c r="N7" s="11">
        <v>-2.05</v>
      </c>
      <c r="O7" s="11">
        <v>-1.18</v>
      </c>
      <c r="P7" s="23">
        <f t="shared" si="2"/>
        <v>-0.87</v>
      </c>
      <c r="Q7" s="24">
        <f t="shared" si="3"/>
        <v>-0.26516306</v>
      </c>
      <c r="R7" s="11">
        <v>0.01</v>
      </c>
      <c r="S7" s="12"/>
      <c r="T7" s="12"/>
      <c r="U7" s="12"/>
      <c r="V7" s="12"/>
      <c r="W7" s="12"/>
      <c r="X7" s="12"/>
      <c r="Y7" s="12"/>
    </row>
    <row r="8" ht="15.75" customHeight="1">
      <c r="A8" s="25">
        <v>45784.4087037037</v>
      </c>
      <c r="B8" s="22">
        <f t="shared" si="1"/>
        <v>45783.95037</v>
      </c>
      <c r="C8" s="11" t="s">
        <v>71</v>
      </c>
      <c r="D8" s="26" t="s">
        <v>117</v>
      </c>
      <c r="E8" s="27">
        <v>-14.3351</v>
      </c>
      <c r="F8" s="27">
        <v>-170.7421</v>
      </c>
      <c r="G8" s="11" t="s">
        <v>68</v>
      </c>
      <c r="H8" s="11" t="s">
        <v>69</v>
      </c>
      <c r="I8" s="11">
        <v>22.8181007709613</v>
      </c>
      <c r="J8" s="12"/>
      <c r="K8" s="11" t="s">
        <v>64</v>
      </c>
      <c r="L8" s="11" t="s">
        <v>65</v>
      </c>
      <c r="M8" s="11" t="s">
        <v>75</v>
      </c>
      <c r="N8" s="11">
        <v>-2.05</v>
      </c>
      <c r="O8" s="11">
        <v>-1.18</v>
      </c>
      <c r="P8" s="23">
        <f t="shared" si="2"/>
        <v>-0.87</v>
      </c>
      <c r="Q8" s="24">
        <f t="shared" si="3"/>
        <v>-0.26516306</v>
      </c>
      <c r="R8" s="11">
        <v>0.01</v>
      </c>
      <c r="S8" s="12"/>
      <c r="T8" s="12"/>
      <c r="U8" s="12"/>
      <c r="V8" s="12"/>
      <c r="W8" s="12"/>
      <c r="X8" s="12"/>
      <c r="Y8" s="12"/>
    </row>
    <row r="9" ht="15.75" customHeight="1">
      <c r="A9" s="25">
        <v>45801.43201388889</v>
      </c>
      <c r="B9" s="22">
        <f t="shared" si="1"/>
        <v>45800.97368</v>
      </c>
      <c r="C9" s="11" t="s">
        <v>26</v>
      </c>
      <c r="D9" s="26" t="s">
        <v>118</v>
      </c>
      <c r="E9" s="27">
        <v>-14.3351</v>
      </c>
      <c r="F9" s="27">
        <v>-170.7421</v>
      </c>
      <c r="G9" s="11" t="s">
        <v>68</v>
      </c>
      <c r="H9" s="11" t="s">
        <v>63</v>
      </c>
      <c r="I9" s="11">
        <v>34.2594490864846</v>
      </c>
      <c r="J9" s="12"/>
      <c r="K9" s="11" t="s">
        <v>65</v>
      </c>
      <c r="L9" s="11" t="s">
        <v>65</v>
      </c>
      <c r="M9" s="11" t="s">
        <v>75</v>
      </c>
      <c r="N9" s="11">
        <v>-2.62</v>
      </c>
      <c r="O9" s="11">
        <v>-1.18</v>
      </c>
      <c r="P9" s="23">
        <f t="shared" si="2"/>
        <v>-1.44</v>
      </c>
      <c r="Q9" s="24">
        <f t="shared" si="3"/>
        <v>-0.4388905821</v>
      </c>
      <c r="R9" s="11">
        <v>0.0</v>
      </c>
      <c r="S9" s="12"/>
      <c r="T9" s="12"/>
      <c r="U9" s="12"/>
      <c r="V9" s="12"/>
      <c r="W9" s="12"/>
      <c r="X9" s="12"/>
      <c r="Y9" s="12"/>
    </row>
    <row r="10" ht="15.75" customHeight="1">
      <c r="A10" s="25">
        <v>45835.91123842593</v>
      </c>
      <c r="B10" s="22">
        <f t="shared" si="1"/>
        <v>45835.45291</v>
      </c>
      <c r="C10" s="11" t="s">
        <v>26</v>
      </c>
      <c r="D10" s="11" t="s">
        <v>119</v>
      </c>
      <c r="E10" s="27">
        <v>-14.3351</v>
      </c>
      <c r="F10" s="27">
        <v>-170.7421</v>
      </c>
      <c r="G10" s="11" t="s">
        <v>62</v>
      </c>
      <c r="H10" s="11" t="s">
        <v>63</v>
      </c>
      <c r="I10" s="11">
        <v>16.0046853358417</v>
      </c>
      <c r="J10" s="12"/>
      <c r="K10" s="11" t="s">
        <v>65</v>
      </c>
      <c r="L10" s="11" t="s">
        <v>65</v>
      </c>
      <c r="M10" s="12"/>
      <c r="N10" s="11">
        <v>-0.09</v>
      </c>
      <c r="O10" s="11">
        <v>-1.18</v>
      </c>
      <c r="P10" s="23">
        <f t="shared" si="2"/>
        <v>1.09</v>
      </c>
      <c r="Q10" s="24">
        <f t="shared" si="3"/>
        <v>0.3322157879</v>
      </c>
      <c r="R10" s="11">
        <v>0.0</v>
      </c>
      <c r="S10" s="12"/>
      <c r="T10" s="12"/>
      <c r="U10" s="12"/>
      <c r="V10" s="12"/>
      <c r="W10" s="12"/>
      <c r="X10" s="12"/>
      <c r="Y10" s="12"/>
    </row>
    <row r="11" ht="15.75" customHeight="1">
      <c r="O11" s="11"/>
      <c r="P11" s="23"/>
      <c r="Q11" s="24"/>
    </row>
    <row r="12" ht="15.75" customHeight="1">
      <c r="O12" s="11"/>
      <c r="P12" s="23"/>
      <c r="Q12" s="24"/>
    </row>
    <row r="13" ht="15.75" customHeight="1">
      <c r="O13" s="11"/>
      <c r="P13" s="23"/>
      <c r="Q13" s="24"/>
    </row>
    <row r="14" ht="15.75" customHeight="1">
      <c r="O14" s="11"/>
      <c r="P14" s="23"/>
      <c r="Q14" s="24"/>
    </row>
    <row r="15" ht="15.75" customHeight="1">
      <c r="K15" s="11"/>
      <c r="L15" s="12"/>
      <c r="O15" s="11"/>
      <c r="P15" s="23"/>
      <c r="Q15" s="24"/>
    </row>
    <row r="16" ht="15.75" customHeight="1">
      <c r="K16" s="11"/>
      <c r="L16" s="12"/>
      <c r="O16" s="11"/>
      <c r="P16" s="23"/>
      <c r="Q16" s="24"/>
    </row>
    <row r="17" ht="15.75" customHeight="1">
      <c r="O17" s="11"/>
      <c r="P17" s="23"/>
      <c r="Q17" s="24"/>
    </row>
    <row r="18" ht="15.75" customHeight="1">
      <c r="O18" s="11"/>
      <c r="P18" s="23"/>
      <c r="Q18" s="24"/>
    </row>
    <row r="19" ht="15.75" customHeight="1">
      <c r="O19" s="11"/>
      <c r="P19" s="23"/>
      <c r="Q19" s="24"/>
    </row>
    <row r="20" ht="15.75" customHeight="1">
      <c r="O20" s="11"/>
      <c r="P20" s="23"/>
      <c r="Q20" s="24"/>
    </row>
    <row r="21" ht="15.75" customHeight="1">
      <c r="O21" s="11"/>
      <c r="P21" s="23"/>
      <c r="Q21" s="2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A2:Y100">
    <cfRule type="expression" dxfId="0" priority="1">
      <formula>$N2&gt;0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22"/>
    <col customWidth="1" min="3" max="3" width="29.44"/>
    <col customWidth="1" min="4" max="4" width="35.33"/>
    <col customWidth="1" min="5" max="8" width="10.56"/>
    <col customWidth="1" min="9" max="9" width="11.67"/>
    <col customWidth="1" min="10" max="10" width="14.67"/>
    <col customWidth="1" min="11" max="11" width="10.56"/>
    <col customWidth="1" min="12" max="12" width="11.89"/>
    <col customWidth="1" min="13" max="13" width="10.56"/>
    <col customWidth="1" min="14" max="14" width="17.0"/>
    <col customWidth="1" min="15" max="15" width="14.89"/>
    <col customWidth="1" min="16" max="16" width="16.11"/>
    <col customWidth="1" min="17" max="17" width="10.56"/>
    <col customWidth="1" min="18" max="18" width="16.89"/>
    <col customWidth="1" min="19" max="25" width="10.56"/>
  </cols>
  <sheetData>
    <row r="1" ht="15.75" customHeight="1">
      <c r="A1" s="4" t="s">
        <v>108</v>
      </c>
      <c r="B1" s="4" t="s">
        <v>44</v>
      </c>
      <c r="C1" s="4" t="s">
        <v>9</v>
      </c>
      <c r="D1" s="17" t="s">
        <v>45</v>
      </c>
      <c r="E1" s="17" t="s">
        <v>46</v>
      </c>
      <c r="F1" s="17" t="s">
        <v>47</v>
      </c>
      <c r="G1" s="18" t="s">
        <v>48</v>
      </c>
      <c r="H1" s="18" t="s">
        <v>49</v>
      </c>
      <c r="I1" s="18" t="s">
        <v>50</v>
      </c>
      <c r="J1" s="4" t="s">
        <v>2</v>
      </c>
      <c r="K1" s="4" t="s">
        <v>51</v>
      </c>
      <c r="L1" s="4" t="s">
        <v>52</v>
      </c>
      <c r="M1" s="4" t="s">
        <v>53</v>
      </c>
      <c r="N1" s="16" t="s">
        <v>54</v>
      </c>
      <c r="O1" s="16" t="s">
        <v>55</v>
      </c>
      <c r="P1" s="16" t="s">
        <v>56</v>
      </c>
      <c r="Q1" s="19" t="s">
        <v>57</v>
      </c>
      <c r="R1" s="16" t="s">
        <v>58</v>
      </c>
      <c r="T1" s="11" t="s">
        <v>59</v>
      </c>
    </row>
    <row r="2" ht="15.75" customHeight="1">
      <c r="A2" s="25">
        <v>45582.91217592593</v>
      </c>
      <c r="B2" s="22">
        <f t="shared" ref="B2:B32" si="1">A2-time(11,0,0)</f>
        <v>45582.45384</v>
      </c>
      <c r="C2" s="11" t="s">
        <v>26</v>
      </c>
      <c r="D2" s="12" t="s">
        <v>120</v>
      </c>
      <c r="E2" s="12">
        <v>-14.2762</v>
      </c>
      <c r="F2" s="12">
        <v>-170.6808</v>
      </c>
      <c r="G2" s="12" t="s">
        <v>62</v>
      </c>
      <c r="H2" s="12" t="s">
        <v>69</v>
      </c>
      <c r="I2" s="12">
        <f>18.717532458253</f>
        <v>18.71753246</v>
      </c>
      <c r="K2" s="11" t="s">
        <v>64</v>
      </c>
      <c r="L2" s="11" t="s">
        <v>65</v>
      </c>
      <c r="M2" s="11"/>
      <c r="N2" s="11">
        <v>-2.14</v>
      </c>
      <c r="O2" s="11">
        <v>-1.18</v>
      </c>
      <c r="P2" s="23">
        <f t="shared" ref="P2:P32" si="2">N2-O2</f>
        <v>-0.96</v>
      </c>
      <c r="Q2" s="24">
        <f t="shared" ref="Q2:Q32" si="3">P2/3.281</f>
        <v>-0.2925937214</v>
      </c>
      <c r="R2" s="11">
        <v>0.0</v>
      </c>
      <c r="T2" s="12" t="s">
        <v>66</v>
      </c>
    </row>
    <row r="3" ht="15.75" customHeight="1">
      <c r="A3" s="25">
        <v>45611.85351851852</v>
      </c>
      <c r="B3" s="22">
        <f t="shared" si="1"/>
        <v>45611.39519</v>
      </c>
      <c r="C3" s="11" t="s">
        <v>121</v>
      </c>
      <c r="D3" s="12" t="s">
        <v>122</v>
      </c>
      <c r="E3" s="12">
        <v>-14.2761</v>
      </c>
      <c r="F3" s="12">
        <v>-170.6818</v>
      </c>
      <c r="G3" s="12" t="s">
        <v>62</v>
      </c>
      <c r="H3" s="12" t="s">
        <v>69</v>
      </c>
      <c r="I3" s="12">
        <f>30.0315604141898</f>
        <v>30.03156041</v>
      </c>
      <c r="J3" s="12"/>
      <c r="K3" s="11" t="s">
        <v>64</v>
      </c>
      <c r="L3" s="11" t="s">
        <v>65</v>
      </c>
      <c r="M3" s="11"/>
      <c r="N3" s="11">
        <v>-0.95</v>
      </c>
      <c r="O3" s="11">
        <v>-1.18</v>
      </c>
      <c r="P3" s="23">
        <f t="shared" si="2"/>
        <v>0.23</v>
      </c>
      <c r="Q3" s="24">
        <f t="shared" si="3"/>
        <v>0.07010057909</v>
      </c>
      <c r="R3" s="11">
        <v>0.0</v>
      </c>
      <c r="S3" s="12"/>
      <c r="T3" s="12" t="s">
        <v>70</v>
      </c>
      <c r="U3" s="12"/>
      <c r="V3" s="12"/>
      <c r="W3" s="12"/>
      <c r="X3" s="12"/>
      <c r="Y3" s="12"/>
    </row>
    <row r="4" ht="15.75" customHeight="1">
      <c r="A4" s="25">
        <v>45617.84386574074</v>
      </c>
      <c r="B4" s="22">
        <f t="shared" si="1"/>
        <v>45617.38553</v>
      </c>
      <c r="C4" s="11" t="s">
        <v>71</v>
      </c>
      <c r="D4" s="12" t="s">
        <v>123</v>
      </c>
      <c r="E4" s="12">
        <v>-14.2769</v>
      </c>
      <c r="F4" s="12">
        <v>-170.6791</v>
      </c>
      <c r="G4" s="12" t="s">
        <v>62</v>
      </c>
      <c r="H4" s="12" t="s">
        <v>63</v>
      </c>
      <c r="I4" s="12">
        <f>30.1331024592313</f>
        <v>30.13310246</v>
      </c>
      <c r="K4" s="11" t="s">
        <v>64</v>
      </c>
      <c r="L4" s="11" t="s">
        <v>65</v>
      </c>
      <c r="M4" s="11" t="s">
        <v>75</v>
      </c>
      <c r="N4" s="11">
        <v>-1.82</v>
      </c>
      <c r="O4" s="11">
        <v>-1.18</v>
      </c>
      <c r="P4" s="23">
        <f t="shared" si="2"/>
        <v>-0.64</v>
      </c>
      <c r="Q4" s="24">
        <f t="shared" si="3"/>
        <v>-0.195062481</v>
      </c>
      <c r="R4" s="11">
        <v>0.0</v>
      </c>
      <c r="T4" s="12" t="s">
        <v>73</v>
      </c>
    </row>
    <row r="5" ht="15.75" customHeight="1">
      <c r="A5" s="25">
        <v>45644.428136574075</v>
      </c>
      <c r="B5" s="22">
        <f t="shared" si="1"/>
        <v>45643.9698</v>
      </c>
      <c r="C5" s="11" t="s">
        <v>26</v>
      </c>
      <c r="D5" s="12" t="s">
        <v>124</v>
      </c>
      <c r="E5" s="12">
        <v>-14.2761</v>
      </c>
      <c r="F5" s="12">
        <v>-170.68</v>
      </c>
      <c r="G5" s="12" t="s">
        <v>68</v>
      </c>
      <c r="H5" s="12" t="s">
        <v>63</v>
      </c>
      <c r="I5" s="12">
        <f> 31.6103948847255</f>
        <v>31.61039488</v>
      </c>
      <c r="J5" s="12"/>
      <c r="K5" s="11" t="s">
        <v>64</v>
      </c>
      <c r="L5" s="11" t="s">
        <v>64</v>
      </c>
      <c r="M5" s="11" t="s">
        <v>75</v>
      </c>
      <c r="N5" s="11">
        <v>-0.22</v>
      </c>
      <c r="O5" s="11">
        <v>-1.18</v>
      </c>
      <c r="P5" s="23">
        <f t="shared" si="2"/>
        <v>0.96</v>
      </c>
      <c r="Q5" s="24">
        <f t="shared" si="3"/>
        <v>0.2925937214</v>
      </c>
      <c r="R5" s="11">
        <v>0.0</v>
      </c>
      <c r="S5" s="12"/>
      <c r="T5" s="12"/>
      <c r="U5" s="12"/>
      <c r="V5" s="12"/>
      <c r="W5" s="12"/>
      <c r="X5" s="12"/>
      <c r="Y5" s="12"/>
    </row>
    <row r="6" ht="15.75" customHeight="1">
      <c r="A6" s="25">
        <v>45649.36414351852</v>
      </c>
      <c r="B6" s="22">
        <f t="shared" si="1"/>
        <v>45648.90581</v>
      </c>
      <c r="C6" s="11" t="s">
        <v>77</v>
      </c>
      <c r="D6" s="12" t="s">
        <v>125</v>
      </c>
      <c r="E6" s="12">
        <v>-14.2764</v>
      </c>
      <c r="F6" s="12">
        <v>-170.68</v>
      </c>
      <c r="G6" s="12" t="s">
        <v>68</v>
      </c>
      <c r="H6" s="12" t="s">
        <v>63</v>
      </c>
      <c r="I6" s="12">
        <f>17.6243317884815</f>
        <v>17.62433179</v>
      </c>
      <c r="K6" s="11" t="s">
        <v>64</v>
      </c>
      <c r="L6" s="11" t="s">
        <v>64</v>
      </c>
      <c r="M6" s="11" t="s">
        <v>75</v>
      </c>
      <c r="N6" s="11">
        <v>-1.34</v>
      </c>
      <c r="O6" s="11">
        <v>-1.18</v>
      </c>
      <c r="P6" s="23">
        <f t="shared" si="2"/>
        <v>-0.16</v>
      </c>
      <c r="Q6" s="24">
        <f t="shared" si="3"/>
        <v>-0.04876562024</v>
      </c>
      <c r="R6" s="11">
        <v>0.0</v>
      </c>
    </row>
    <row r="7" ht="15.75" customHeight="1">
      <c r="A7" s="25">
        <v>45663.365115740744</v>
      </c>
      <c r="B7" s="22">
        <f t="shared" si="1"/>
        <v>45662.90678</v>
      </c>
      <c r="C7" s="11" t="s">
        <v>77</v>
      </c>
      <c r="D7" s="12" t="s">
        <v>126</v>
      </c>
      <c r="E7" s="12">
        <v>-14.278</v>
      </c>
      <c r="F7" s="12">
        <v>-170.6791</v>
      </c>
      <c r="G7" s="12" t="s">
        <v>68</v>
      </c>
      <c r="H7" s="12" t="s">
        <v>63</v>
      </c>
      <c r="I7" s="12">
        <f>29.2647926069792</f>
        <v>29.26479261</v>
      </c>
      <c r="J7" s="12"/>
      <c r="K7" s="11" t="s">
        <v>64</v>
      </c>
      <c r="L7" s="11" t="s">
        <v>65</v>
      </c>
      <c r="M7" s="11" t="s">
        <v>75</v>
      </c>
      <c r="N7" s="11">
        <v>-0.57</v>
      </c>
      <c r="O7" s="11">
        <v>-1.18</v>
      </c>
      <c r="P7" s="23">
        <f t="shared" si="2"/>
        <v>0.61</v>
      </c>
      <c r="Q7" s="24">
        <f t="shared" si="3"/>
        <v>0.1859189272</v>
      </c>
      <c r="R7" s="11">
        <v>0.0</v>
      </c>
      <c r="S7" s="12"/>
      <c r="T7" s="12"/>
      <c r="U7" s="12"/>
      <c r="V7" s="12"/>
      <c r="W7" s="12"/>
      <c r="X7" s="12"/>
      <c r="Y7" s="12"/>
    </row>
    <row r="8" ht="15.75" customHeight="1">
      <c r="A8" s="25">
        <v>45666.40361111111</v>
      </c>
      <c r="B8" s="22">
        <f t="shared" si="1"/>
        <v>45665.94528</v>
      </c>
      <c r="C8" s="11" t="s">
        <v>71</v>
      </c>
      <c r="D8" s="12" t="s">
        <v>127</v>
      </c>
      <c r="E8" s="12">
        <v>-14.2757</v>
      </c>
      <c r="F8" s="12">
        <v>-170.6809</v>
      </c>
      <c r="G8" s="12" t="s">
        <v>68</v>
      </c>
      <c r="H8" s="12" t="s">
        <v>69</v>
      </c>
      <c r="I8" s="12">
        <f>34.0990046810583</f>
        <v>34.09900468</v>
      </c>
      <c r="K8" s="11" t="s">
        <v>64</v>
      </c>
      <c r="L8" s="11" t="s">
        <v>65</v>
      </c>
      <c r="M8" s="11"/>
      <c r="N8" s="11">
        <v>-1.98</v>
      </c>
      <c r="O8" s="11">
        <v>-1.18</v>
      </c>
      <c r="P8" s="23">
        <f t="shared" si="2"/>
        <v>-0.8</v>
      </c>
      <c r="Q8" s="24">
        <f t="shared" si="3"/>
        <v>-0.2438281012</v>
      </c>
      <c r="R8" s="11">
        <v>0.0</v>
      </c>
    </row>
    <row r="9" ht="15.75" customHeight="1">
      <c r="A9" s="25">
        <v>45667.91248842593</v>
      </c>
      <c r="B9" s="22">
        <f t="shared" si="1"/>
        <v>45667.45416</v>
      </c>
      <c r="C9" s="11" t="s">
        <v>71</v>
      </c>
      <c r="D9" s="12" t="s">
        <v>128</v>
      </c>
      <c r="E9" s="12">
        <v>-14.2766</v>
      </c>
      <c r="F9" s="12">
        <v>-170.6809</v>
      </c>
      <c r="G9" s="12" t="s">
        <v>62</v>
      </c>
      <c r="H9" s="12" t="s">
        <v>69</v>
      </c>
      <c r="I9" s="12">
        <f>15.7411498824918</f>
        <v>15.74114988</v>
      </c>
      <c r="K9" s="11" t="s">
        <v>64</v>
      </c>
      <c r="L9" s="11" t="s">
        <v>65</v>
      </c>
      <c r="M9" s="11"/>
      <c r="N9" s="11">
        <v>-2.47</v>
      </c>
      <c r="O9" s="11">
        <v>-1.18</v>
      </c>
      <c r="P9" s="23">
        <f t="shared" si="2"/>
        <v>-1.29</v>
      </c>
      <c r="Q9" s="24">
        <f t="shared" si="3"/>
        <v>-0.3931728132</v>
      </c>
      <c r="R9" s="11">
        <v>0.15</v>
      </c>
    </row>
    <row r="10" ht="15.75" customHeight="1">
      <c r="A10" s="21">
        <v>45698.857824074075</v>
      </c>
      <c r="B10" s="22">
        <f t="shared" si="1"/>
        <v>45698.39949</v>
      </c>
      <c r="C10" s="11" t="s">
        <v>82</v>
      </c>
      <c r="D10" s="12" t="s">
        <v>129</v>
      </c>
      <c r="E10" s="12">
        <v>-14.2769</v>
      </c>
      <c r="F10" s="12">
        <v>-170.6805</v>
      </c>
      <c r="G10" s="11" t="s">
        <v>62</v>
      </c>
      <c r="H10" s="11" t="s">
        <v>69</v>
      </c>
      <c r="I10" s="12">
        <v>28.6051098281615</v>
      </c>
      <c r="K10" s="11" t="s">
        <v>64</v>
      </c>
      <c r="L10" s="11" t="s">
        <v>65</v>
      </c>
      <c r="M10" s="11" t="s">
        <v>75</v>
      </c>
      <c r="N10" s="11">
        <v>-1.83</v>
      </c>
      <c r="O10" s="11">
        <v>-1.18</v>
      </c>
      <c r="P10" s="23">
        <f t="shared" si="2"/>
        <v>-0.65</v>
      </c>
      <c r="Q10" s="24">
        <f t="shared" si="3"/>
        <v>-0.1981103322</v>
      </c>
      <c r="R10" s="11">
        <v>0.0</v>
      </c>
    </row>
    <row r="11">
      <c r="A11" s="25">
        <v>45702.3578125</v>
      </c>
      <c r="B11" s="22">
        <f t="shared" si="1"/>
        <v>45701.89948</v>
      </c>
      <c r="C11" s="11" t="s">
        <v>121</v>
      </c>
      <c r="D11" s="26" t="s">
        <v>130</v>
      </c>
      <c r="E11" s="27">
        <v>-14.2766</v>
      </c>
      <c r="F11" s="27">
        <v>-170.6802</v>
      </c>
      <c r="G11" s="11" t="s">
        <v>68</v>
      </c>
      <c r="H11" s="11" t="s">
        <v>69</v>
      </c>
      <c r="I11" s="12">
        <f>15.6329570958107</f>
        <v>15.6329571</v>
      </c>
      <c r="J11" s="12"/>
      <c r="K11" s="11" t="s">
        <v>64</v>
      </c>
      <c r="L11" s="11" t="s">
        <v>65</v>
      </c>
      <c r="M11" s="11"/>
      <c r="N11" s="11">
        <v>-0.1</v>
      </c>
      <c r="O11" s="11">
        <v>-1.18</v>
      </c>
      <c r="P11" s="23">
        <f t="shared" si="2"/>
        <v>1.08</v>
      </c>
      <c r="Q11" s="24">
        <f t="shared" si="3"/>
        <v>0.3291679366</v>
      </c>
      <c r="R11" s="11">
        <v>0.0</v>
      </c>
      <c r="S11" s="12"/>
      <c r="T11" s="12"/>
      <c r="U11" s="12"/>
      <c r="V11" s="12"/>
      <c r="W11" s="12"/>
      <c r="X11" s="12"/>
      <c r="Y11" s="12"/>
    </row>
    <row r="12">
      <c r="A12" s="25">
        <v>45706.3566087963</v>
      </c>
      <c r="B12" s="22">
        <f t="shared" si="1"/>
        <v>45705.89828</v>
      </c>
      <c r="C12" s="11" t="s">
        <v>71</v>
      </c>
      <c r="D12" s="26" t="s">
        <v>131</v>
      </c>
      <c r="E12" s="27">
        <v>-14.2764</v>
      </c>
      <c r="F12" s="27">
        <v>-170.6804</v>
      </c>
      <c r="G12" s="11" t="s">
        <v>68</v>
      </c>
      <c r="H12" s="11" t="s">
        <v>69</v>
      </c>
      <c r="I12" s="12">
        <f>17.0815395412765</f>
        <v>17.08153954</v>
      </c>
      <c r="J12" s="12"/>
      <c r="K12" s="11" t="s">
        <v>64</v>
      </c>
      <c r="L12" s="11" t="s">
        <v>64</v>
      </c>
      <c r="M12" s="11"/>
      <c r="N12" s="11">
        <v>-0.37</v>
      </c>
      <c r="O12" s="11">
        <v>-1.18</v>
      </c>
      <c r="P12" s="23">
        <f t="shared" si="2"/>
        <v>0.81</v>
      </c>
      <c r="Q12" s="24">
        <f t="shared" si="3"/>
        <v>0.2468759525</v>
      </c>
      <c r="R12" s="11">
        <v>0.0</v>
      </c>
      <c r="S12" s="12"/>
      <c r="T12" s="12"/>
      <c r="U12" s="12"/>
      <c r="V12" s="12"/>
      <c r="W12" s="12"/>
      <c r="X12" s="12"/>
      <c r="Y12" s="12"/>
    </row>
    <row r="13" ht="15.75" customHeight="1">
      <c r="A13" s="25">
        <v>45728.36515046296</v>
      </c>
      <c r="B13" s="22">
        <f t="shared" si="1"/>
        <v>45727.90682</v>
      </c>
      <c r="C13" s="11" t="s">
        <v>82</v>
      </c>
      <c r="D13" s="11" t="s">
        <v>132</v>
      </c>
      <c r="E13" s="27">
        <v>-14.2768</v>
      </c>
      <c r="F13" s="27">
        <v>-170.6811</v>
      </c>
      <c r="G13" s="11" t="s">
        <v>68</v>
      </c>
      <c r="H13" s="11" t="s">
        <v>63</v>
      </c>
      <c r="I13" s="11">
        <v>23.8152400297508</v>
      </c>
      <c r="K13" s="11" t="s">
        <v>64</v>
      </c>
      <c r="L13" s="11" t="s">
        <v>65</v>
      </c>
      <c r="M13" s="11" t="s">
        <v>75</v>
      </c>
      <c r="N13" s="11">
        <v>-1.82</v>
      </c>
      <c r="O13" s="11">
        <v>-1.18</v>
      </c>
      <c r="P13" s="23">
        <f t="shared" si="2"/>
        <v>-0.64</v>
      </c>
      <c r="Q13" s="24">
        <f t="shared" si="3"/>
        <v>-0.195062481</v>
      </c>
      <c r="R13" s="11">
        <v>0.0</v>
      </c>
    </row>
    <row r="14" ht="15.75" customHeight="1">
      <c r="A14" s="25">
        <v>45736.91878472222</v>
      </c>
      <c r="B14" s="22">
        <f t="shared" si="1"/>
        <v>45736.46045</v>
      </c>
      <c r="C14" s="11" t="s">
        <v>71</v>
      </c>
      <c r="D14" s="11" t="s">
        <v>133</v>
      </c>
      <c r="E14" s="27">
        <v>-14.2763</v>
      </c>
      <c r="F14" s="27">
        <v>-170.6817</v>
      </c>
      <c r="G14" s="11" t="s">
        <v>62</v>
      </c>
      <c r="H14" s="11" t="s">
        <v>69</v>
      </c>
      <c r="I14" s="11">
        <v>31.798176967057</v>
      </c>
      <c r="J14" s="12"/>
      <c r="K14" s="11" t="s">
        <v>64</v>
      </c>
      <c r="L14" s="11" t="s">
        <v>64</v>
      </c>
      <c r="M14" s="11" t="s">
        <v>75</v>
      </c>
      <c r="N14" s="11">
        <v>-0.33</v>
      </c>
      <c r="O14" s="11">
        <v>-1.18</v>
      </c>
      <c r="P14" s="23">
        <f t="shared" si="2"/>
        <v>0.85</v>
      </c>
      <c r="Q14" s="24">
        <f t="shared" si="3"/>
        <v>0.2590673575</v>
      </c>
      <c r="R14" s="11">
        <v>0.0</v>
      </c>
      <c r="S14" s="12"/>
      <c r="T14" s="12"/>
      <c r="U14" s="12"/>
      <c r="V14" s="12"/>
      <c r="W14" s="12"/>
      <c r="X14" s="12"/>
      <c r="Y14" s="12"/>
    </row>
    <row r="15" ht="15.75" customHeight="1">
      <c r="A15" s="25">
        <v>45737.917650462965</v>
      </c>
      <c r="B15" s="22">
        <f t="shared" si="1"/>
        <v>45737.45932</v>
      </c>
      <c r="C15" s="11" t="s">
        <v>71</v>
      </c>
      <c r="D15" s="11" t="s">
        <v>134</v>
      </c>
      <c r="E15" s="27">
        <v>-14.2763</v>
      </c>
      <c r="F15" s="27">
        <v>-170.6817</v>
      </c>
      <c r="G15" s="11" t="s">
        <v>62</v>
      </c>
      <c r="H15" s="11" t="s">
        <v>69</v>
      </c>
      <c r="I15" s="11">
        <v>33.799891159962</v>
      </c>
      <c r="J15" s="12"/>
      <c r="K15" s="11" t="s">
        <v>64</v>
      </c>
      <c r="L15" s="11" t="s">
        <v>65</v>
      </c>
      <c r="M15" s="11" t="s">
        <v>75</v>
      </c>
      <c r="N15" s="11">
        <v>-0.44</v>
      </c>
      <c r="O15" s="11">
        <v>-1.18</v>
      </c>
      <c r="P15" s="23">
        <f t="shared" si="2"/>
        <v>0.74</v>
      </c>
      <c r="Q15" s="24">
        <f t="shared" si="3"/>
        <v>0.2255409936</v>
      </c>
      <c r="R15" s="11">
        <v>0.0</v>
      </c>
      <c r="S15" s="12"/>
      <c r="T15" s="12"/>
      <c r="U15" s="12"/>
      <c r="V15" s="12"/>
      <c r="W15" s="12"/>
      <c r="X15" s="12"/>
      <c r="Y15" s="12"/>
    </row>
    <row r="16" ht="15.75" customHeight="1">
      <c r="A16" s="21">
        <v>45746.84449074074</v>
      </c>
      <c r="B16" s="22">
        <f t="shared" si="1"/>
        <v>45746.38616</v>
      </c>
      <c r="C16" s="11" t="s">
        <v>89</v>
      </c>
      <c r="D16" s="28" t="s">
        <v>135</v>
      </c>
      <c r="E16" s="27">
        <v>-14.2763</v>
      </c>
      <c r="F16" s="27">
        <v>-170.6817</v>
      </c>
      <c r="G16" s="11" t="s">
        <v>62</v>
      </c>
      <c r="H16" s="11" t="s">
        <v>63</v>
      </c>
      <c r="I16" s="11">
        <v>25.2715319559514</v>
      </c>
      <c r="J16" s="11" t="s">
        <v>136</v>
      </c>
      <c r="K16" s="11" t="s">
        <v>64</v>
      </c>
      <c r="L16" s="11" t="s">
        <v>64</v>
      </c>
      <c r="M16" s="11" t="s">
        <v>75</v>
      </c>
      <c r="N16" s="11">
        <v>0.75</v>
      </c>
      <c r="O16" s="11">
        <v>-1.18</v>
      </c>
      <c r="P16" s="23">
        <f t="shared" si="2"/>
        <v>1.93</v>
      </c>
      <c r="Q16" s="24">
        <f t="shared" si="3"/>
        <v>0.5882352941</v>
      </c>
      <c r="R16" s="11">
        <v>0.0</v>
      </c>
      <c r="S16" s="12"/>
      <c r="T16" s="12"/>
      <c r="U16" s="12"/>
      <c r="V16" s="12"/>
      <c r="W16" s="12"/>
      <c r="X16" s="12"/>
      <c r="Y16" s="12"/>
    </row>
    <row r="17" ht="15.75" customHeight="1">
      <c r="A17" s="21">
        <v>45750.903599537036</v>
      </c>
      <c r="B17" s="22">
        <f t="shared" si="1"/>
        <v>45750.44527</v>
      </c>
      <c r="C17" s="11" t="s">
        <v>35</v>
      </c>
      <c r="D17" s="28" t="s">
        <v>137</v>
      </c>
      <c r="E17" s="27">
        <v>-14.2763</v>
      </c>
      <c r="F17" s="27">
        <v>-170.6817</v>
      </c>
      <c r="G17" s="11" t="s">
        <v>62</v>
      </c>
      <c r="H17" s="11" t="s">
        <v>63</v>
      </c>
      <c r="I17" s="11">
        <v>30.6146806025532</v>
      </c>
      <c r="J17" s="12"/>
      <c r="K17" s="11" t="s">
        <v>64</v>
      </c>
      <c r="L17" s="11" t="s">
        <v>64</v>
      </c>
      <c r="M17" s="11" t="s">
        <v>75</v>
      </c>
      <c r="N17" s="11">
        <v>0.28</v>
      </c>
      <c r="O17" s="11">
        <v>-1.18</v>
      </c>
      <c r="P17" s="23">
        <f t="shared" si="2"/>
        <v>1.46</v>
      </c>
      <c r="Q17" s="24">
        <f t="shared" si="3"/>
        <v>0.4449862847</v>
      </c>
      <c r="R17" s="11">
        <v>0.0</v>
      </c>
      <c r="S17" s="12"/>
      <c r="T17" s="12"/>
      <c r="U17" s="12"/>
      <c r="V17" s="12"/>
      <c r="W17" s="12"/>
      <c r="X17" s="12"/>
      <c r="Y17" s="12"/>
    </row>
    <row r="18" ht="15.75" customHeight="1">
      <c r="A18" s="21">
        <v>45776.36693287037</v>
      </c>
      <c r="B18" s="22">
        <f t="shared" si="1"/>
        <v>45775.9086</v>
      </c>
      <c r="C18" s="11" t="s">
        <v>89</v>
      </c>
      <c r="D18" s="26" t="s">
        <v>138</v>
      </c>
      <c r="E18" s="27">
        <v>-14.2763</v>
      </c>
      <c r="F18" s="27">
        <v>-170.6817</v>
      </c>
      <c r="G18" s="11" t="s">
        <v>68</v>
      </c>
      <c r="H18" s="11" t="s">
        <v>63</v>
      </c>
      <c r="I18" s="11">
        <v>32.6629855250653</v>
      </c>
      <c r="J18" s="12"/>
      <c r="K18" s="11" t="s">
        <v>64</v>
      </c>
      <c r="L18" s="11" t="s">
        <v>65</v>
      </c>
      <c r="M18" s="11" t="s">
        <v>75</v>
      </c>
      <c r="N18" s="11">
        <v>-0.16</v>
      </c>
      <c r="O18" s="11">
        <v>-1.18</v>
      </c>
      <c r="P18" s="23">
        <f t="shared" si="2"/>
        <v>1.02</v>
      </c>
      <c r="Q18" s="24">
        <f t="shared" si="3"/>
        <v>0.310880829</v>
      </c>
      <c r="R18" s="11">
        <v>0.0</v>
      </c>
      <c r="S18" s="12"/>
      <c r="T18" s="12"/>
      <c r="U18" s="12"/>
      <c r="V18" s="12"/>
      <c r="W18" s="12"/>
      <c r="X18" s="12"/>
      <c r="Y18" s="12"/>
    </row>
    <row r="19" ht="15.75" customHeight="1">
      <c r="A19" s="21">
        <v>45785.35826388889</v>
      </c>
      <c r="B19" s="22">
        <f t="shared" si="1"/>
        <v>45784.89993</v>
      </c>
      <c r="C19" s="11" t="s">
        <v>71</v>
      </c>
      <c r="D19" s="26" t="s">
        <v>139</v>
      </c>
      <c r="E19" s="27">
        <v>-14.2763</v>
      </c>
      <c r="F19" s="27">
        <v>-170.6817</v>
      </c>
      <c r="G19" s="11" t="s">
        <v>68</v>
      </c>
      <c r="H19" s="11" t="s">
        <v>69</v>
      </c>
      <c r="I19" s="11">
        <v>26.0682980224995</v>
      </c>
      <c r="K19" s="11" t="s">
        <v>64</v>
      </c>
      <c r="L19" s="11" t="s">
        <v>65</v>
      </c>
      <c r="N19" s="11">
        <v>-2.22</v>
      </c>
      <c r="O19" s="11">
        <v>-1.18</v>
      </c>
      <c r="P19" s="23">
        <f t="shared" si="2"/>
        <v>-1.04</v>
      </c>
      <c r="Q19" s="24">
        <f t="shared" si="3"/>
        <v>-0.3169765315</v>
      </c>
      <c r="R19" s="11">
        <v>0.0</v>
      </c>
    </row>
    <row r="20" ht="15.75" customHeight="1">
      <c r="A20" s="21">
        <v>45799.8503587963</v>
      </c>
      <c r="B20" s="22">
        <f t="shared" si="1"/>
        <v>45799.39203</v>
      </c>
      <c r="C20" s="11" t="s">
        <v>97</v>
      </c>
      <c r="D20" s="11" t="s">
        <v>140</v>
      </c>
      <c r="E20" s="27">
        <v>-14.2763</v>
      </c>
      <c r="F20" s="27">
        <v>-170.6817</v>
      </c>
      <c r="G20" s="11" t="s">
        <v>62</v>
      </c>
      <c r="H20" s="11" t="s">
        <v>63</v>
      </c>
      <c r="I20" s="11">
        <v>18.9173596041517</v>
      </c>
      <c r="J20" s="11"/>
      <c r="K20" s="11" t="s">
        <v>65</v>
      </c>
      <c r="L20" s="11" t="s">
        <v>65</v>
      </c>
      <c r="M20" s="11"/>
      <c r="N20" s="11">
        <v>-2.48</v>
      </c>
      <c r="O20" s="11">
        <v>-1.18</v>
      </c>
      <c r="P20" s="23">
        <f t="shared" si="2"/>
        <v>-1.3</v>
      </c>
      <c r="Q20" s="24">
        <f t="shared" si="3"/>
        <v>-0.3962206644</v>
      </c>
      <c r="R20" s="11">
        <v>0.02</v>
      </c>
    </row>
    <row r="21" ht="15.75" customHeight="1">
      <c r="A21" s="21">
        <v>45800.40908564815</v>
      </c>
      <c r="B21" s="22">
        <f t="shared" si="1"/>
        <v>45799.95075</v>
      </c>
      <c r="C21" s="11" t="s">
        <v>97</v>
      </c>
      <c r="D21" s="11" t="s">
        <v>141</v>
      </c>
      <c r="E21" s="27">
        <v>-14.2763</v>
      </c>
      <c r="F21" s="27">
        <v>-170.6817</v>
      </c>
      <c r="G21" s="11" t="s">
        <v>68</v>
      </c>
      <c r="H21" s="11" t="s">
        <v>69</v>
      </c>
      <c r="I21" s="11">
        <v>18.2683007275252</v>
      </c>
      <c r="J21" s="11"/>
      <c r="K21" s="11" t="s">
        <v>65</v>
      </c>
      <c r="L21" s="11" t="s">
        <v>65</v>
      </c>
      <c r="M21" s="11"/>
      <c r="N21" s="11">
        <v>-2.13</v>
      </c>
      <c r="O21" s="11">
        <v>-1.18</v>
      </c>
      <c r="P21" s="23">
        <f t="shared" si="2"/>
        <v>-0.95</v>
      </c>
      <c r="Q21" s="24">
        <f t="shared" si="3"/>
        <v>-0.2895458702</v>
      </c>
      <c r="R21" s="11">
        <v>0.0</v>
      </c>
    </row>
    <row r="22" ht="15.75" customHeight="1">
      <c r="A22" s="21">
        <v>45802.42951388889</v>
      </c>
      <c r="B22" s="22">
        <f t="shared" si="1"/>
        <v>45801.97118</v>
      </c>
      <c r="C22" s="11" t="s">
        <v>142</v>
      </c>
      <c r="D22" s="11" t="s">
        <v>143</v>
      </c>
      <c r="E22" s="27">
        <v>-14.2763</v>
      </c>
      <c r="F22" s="27">
        <v>-170.6817</v>
      </c>
      <c r="G22" s="11" t="s">
        <v>68</v>
      </c>
      <c r="H22" s="11" t="s">
        <v>63</v>
      </c>
      <c r="I22" s="11">
        <v>28.5813620421798</v>
      </c>
      <c r="J22" s="11"/>
      <c r="K22" s="11" t="s">
        <v>65</v>
      </c>
      <c r="L22" s="11" t="s">
        <v>65</v>
      </c>
      <c r="M22" s="11" t="s">
        <v>75</v>
      </c>
      <c r="N22" s="11">
        <v>-2.8</v>
      </c>
      <c r="O22" s="11">
        <v>-1.18</v>
      </c>
      <c r="P22" s="23">
        <f t="shared" si="2"/>
        <v>-1.62</v>
      </c>
      <c r="Q22" s="24">
        <f t="shared" si="3"/>
        <v>-0.4937519049</v>
      </c>
      <c r="R22" s="11">
        <v>0.0</v>
      </c>
    </row>
    <row r="23" ht="15.75" customHeight="1">
      <c r="A23" s="21">
        <v>45802.42959490741</v>
      </c>
      <c r="B23" s="22">
        <f t="shared" si="1"/>
        <v>45801.97126</v>
      </c>
      <c r="C23" s="11" t="s">
        <v>142</v>
      </c>
      <c r="D23" s="11" t="s">
        <v>144</v>
      </c>
      <c r="E23" s="27">
        <v>-14.2763</v>
      </c>
      <c r="F23" s="27">
        <v>-170.6817</v>
      </c>
      <c r="G23" s="11" t="s">
        <v>68</v>
      </c>
      <c r="H23" s="11" t="s">
        <v>63</v>
      </c>
      <c r="I23" s="11">
        <v>29.0394033316202</v>
      </c>
      <c r="J23" s="11"/>
      <c r="K23" s="11" t="s">
        <v>65</v>
      </c>
      <c r="L23" s="11" t="s">
        <v>65</v>
      </c>
      <c r="M23" s="11" t="s">
        <v>75</v>
      </c>
      <c r="N23" s="11">
        <v>-2.8</v>
      </c>
      <c r="O23" s="11">
        <v>-1.18</v>
      </c>
      <c r="P23" s="23">
        <f t="shared" si="2"/>
        <v>-1.62</v>
      </c>
      <c r="Q23" s="24">
        <f t="shared" si="3"/>
        <v>-0.4937519049</v>
      </c>
      <c r="R23" s="11">
        <v>0.0</v>
      </c>
    </row>
    <row r="24" ht="15.75" customHeight="1">
      <c r="A24" s="21">
        <v>45804.367372685185</v>
      </c>
      <c r="B24" s="22">
        <f t="shared" si="1"/>
        <v>45803.90904</v>
      </c>
      <c r="C24" s="11" t="s">
        <v>89</v>
      </c>
      <c r="D24" s="11" t="s">
        <v>145</v>
      </c>
      <c r="E24" s="27">
        <v>-14.2763</v>
      </c>
      <c r="F24" s="27">
        <v>-170.6817</v>
      </c>
      <c r="G24" s="11" t="s">
        <v>68</v>
      </c>
      <c r="H24" s="11" t="s">
        <v>63</v>
      </c>
      <c r="I24" s="11">
        <v>19.8777565437964</v>
      </c>
      <c r="J24" s="11" t="s">
        <v>146</v>
      </c>
      <c r="K24" s="11" t="s">
        <v>65</v>
      </c>
      <c r="L24" s="11" t="s">
        <v>65</v>
      </c>
      <c r="M24" s="11" t="s">
        <v>75</v>
      </c>
      <c r="N24" s="11">
        <v>-1.37</v>
      </c>
      <c r="O24" s="11">
        <v>-1.18</v>
      </c>
      <c r="P24" s="23">
        <f t="shared" si="2"/>
        <v>-0.19</v>
      </c>
      <c r="Q24" s="24">
        <f t="shared" si="3"/>
        <v>-0.05790917403</v>
      </c>
      <c r="R24" s="11">
        <v>0.0</v>
      </c>
    </row>
    <row r="25" ht="15.75" customHeight="1">
      <c r="A25" s="21">
        <v>45806.42028935185</v>
      </c>
      <c r="B25" s="22">
        <f t="shared" si="1"/>
        <v>45805.96196</v>
      </c>
      <c r="C25" s="11" t="s">
        <v>89</v>
      </c>
      <c r="D25" s="26" t="s">
        <v>147</v>
      </c>
      <c r="E25" s="27">
        <v>-14.2763</v>
      </c>
      <c r="F25" s="27">
        <v>-170.6817</v>
      </c>
      <c r="G25" s="11" t="s">
        <v>68</v>
      </c>
      <c r="H25" s="11" t="s">
        <v>69</v>
      </c>
      <c r="I25" s="11">
        <v>22.5368681188467</v>
      </c>
      <c r="J25" s="11" t="s">
        <v>148</v>
      </c>
      <c r="K25" s="11" t="s">
        <v>65</v>
      </c>
      <c r="L25" s="11" t="s">
        <v>65</v>
      </c>
      <c r="M25" s="12"/>
      <c r="N25" s="11">
        <v>-0.79</v>
      </c>
      <c r="O25" s="11">
        <v>-1.18</v>
      </c>
      <c r="P25" s="23">
        <f t="shared" si="2"/>
        <v>0.39</v>
      </c>
      <c r="Q25" s="24">
        <f t="shared" si="3"/>
        <v>0.1188661993</v>
      </c>
      <c r="R25" s="11">
        <v>0.0</v>
      </c>
      <c r="S25" s="12"/>
      <c r="T25" s="12"/>
      <c r="U25" s="12"/>
      <c r="V25" s="12"/>
      <c r="W25" s="12"/>
      <c r="X25" s="12"/>
      <c r="Y25" s="12"/>
    </row>
    <row r="26" ht="15.75" customHeight="1">
      <c r="A26" s="21">
        <v>45807.3603125</v>
      </c>
      <c r="B26" s="22">
        <f t="shared" si="1"/>
        <v>45806.90198</v>
      </c>
      <c r="C26" s="11" t="s">
        <v>89</v>
      </c>
      <c r="D26" s="26" t="s">
        <v>149</v>
      </c>
      <c r="E26" s="27">
        <v>-14.2763</v>
      </c>
      <c r="F26" s="27">
        <v>-170.6817</v>
      </c>
      <c r="G26" s="11" t="s">
        <v>68</v>
      </c>
      <c r="H26" s="11" t="s">
        <v>69</v>
      </c>
      <c r="I26" s="11">
        <v>20.470516732207</v>
      </c>
      <c r="J26" s="12"/>
      <c r="K26" s="11" t="s">
        <v>65</v>
      </c>
      <c r="L26" s="11" t="s">
        <v>65</v>
      </c>
      <c r="M26" s="12"/>
      <c r="N26" s="11">
        <v>-0.1</v>
      </c>
      <c r="O26" s="11">
        <v>-1.18</v>
      </c>
      <c r="P26" s="23">
        <f t="shared" si="2"/>
        <v>1.08</v>
      </c>
      <c r="Q26" s="24">
        <f t="shared" si="3"/>
        <v>0.3291679366</v>
      </c>
      <c r="R26" s="11">
        <v>0.0</v>
      </c>
      <c r="S26" s="12"/>
      <c r="T26" s="12"/>
      <c r="U26" s="12"/>
      <c r="V26" s="12"/>
      <c r="W26" s="12"/>
      <c r="X26" s="12"/>
      <c r="Y26" s="12"/>
    </row>
    <row r="27" ht="15.75" customHeight="1">
      <c r="A27" s="21">
        <v>45827.429606481484</v>
      </c>
      <c r="B27" s="22">
        <f t="shared" si="1"/>
        <v>45826.97127</v>
      </c>
      <c r="C27" s="11" t="s">
        <v>99</v>
      </c>
      <c r="D27" s="26" t="s">
        <v>150</v>
      </c>
      <c r="E27" s="27">
        <v>-14.2763</v>
      </c>
      <c r="F27" s="27">
        <v>-170.6817</v>
      </c>
      <c r="G27" s="11" t="s">
        <v>68</v>
      </c>
      <c r="H27" s="11" t="s">
        <v>63</v>
      </c>
      <c r="I27" s="11">
        <v>18.5591778059241</v>
      </c>
      <c r="K27" s="11" t="s">
        <v>65</v>
      </c>
      <c r="L27" s="11" t="s">
        <v>65</v>
      </c>
      <c r="N27" s="11">
        <v>-0.91</v>
      </c>
      <c r="O27" s="11">
        <v>-1.18</v>
      </c>
      <c r="P27" s="23">
        <f t="shared" si="2"/>
        <v>0.27</v>
      </c>
      <c r="Q27" s="24">
        <f t="shared" si="3"/>
        <v>0.08229198415</v>
      </c>
      <c r="R27" s="11">
        <v>0.01</v>
      </c>
    </row>
    <row r="28" ht="15.75" customHeight="1">
      <c r="A28" s="21">
        <v>45830.375243055554</v>
      </c>
      <c r="B28" s="22">
        <f t="shared" si="1"/>
        <v>45829.91691</v>
      </c>
      <c r="C28" s="11" t="s">
        <v>97</v>
      </c>
      <c r="D28" s="11" t="s">
        <v>151</v>
      </c>
      <c r="E28" s="27">
        <v>-14.2763</v>
      </c>
      <c r="F28" s="27">
        <v>-170.6817</v>
      </c>
      <c r="G28" s="11" t="s">
        <v>68</v>
      </c>
      <c r="H28" s="11" t="s">
        <v>63</v>
      </c>
      <c r="I28" s="11">
        <v>46.1773924423438</v>
      </c>
      <c r="J28" s="11" t="s">
        <v>152</v>
      </c>
      <c r="K28" s="11" t="s">
        <v>65</v>
      </c>
      <c r="L28" s="11" t="s">
        <v>65</v>
      </c>
      <c r="M28" s="11" t="s">
        <v>75</v>
      </c>
      <c r="N28" s="11">
        <v>-2.78</v>
      </c>
      <c r="O28" s="11">
        <v>-1.18</v>
      </c>
      <c r="P28" s="23">
        <f t="shared" si="2"/>
        <v>-1.6</v>
      </c>
      <c r="Q28" s="24">
        <f t="shared" si="3"/>
        <v>-0.4876562024</v>
      </c>
      <c r="R28" s="11">
        <v>0.0</v>
      </c>
    </row>
    <row r="29" ht="15.75" customHeight="1">
      <c r="A29" s="21">
        <v>45831.90109953703</v>
      </c>
      <c r="B29" s="22">
        <f t="shared" si="1"/>
        <v>45831.44277</v>
      </c>
      <c r="C29" s="11" t="s">
        <v>97</v>
      </c>
      <c r="D29" s="11" t="s">
        <v>153</v>
      </c>
      <c r="E29" s="27">
        <v>-14.2763</v>
      </c>
      <c r="F29" s="27">
        <v>-170.6817</v>
      </c>
      <c r="G29" s="11" t="s">
        <v>62</v>
      </c>
      <c r="H29" s="11" t="s">
        <v>63</v>
      </c>
      <c r="I29" s="11">
        <v>20.5555703256723</v>
      </c>
      <c r="K29" s="11" t="s">
        <v>65</v>
      </c>
      <c r="L29" s="11" t="s">
        <v>65</v>
      </c>
      <c r="N29" s="11">
        <v>-2.77</v>
      </c>
      <c r="O29" s="11">
        <v>-1.18</v>
      </c>
      <c r="P29" s="23">
        <f t="shared" si="2"/>
        <v>-1.59</v>
      </c>
      <c r="Q29" s="24">
        <f t="shared" si="3"/>
        <v>-0.4846083511</v>
      </c>
      <c r="R29" s="11">
        <v>0.0</v>
      </c>
    </row>
    <row r="30" ht="15.75" customHeight="1">
      <c r="A30" s="21">
        <v>45832.91931712963</v>
      </c>
      <c r="B30" s="22">
        <f t="shared" si="1"/>
        <v>45832.46098</v>
      </c>
      <c r="C30" s="11" t="s">
        <v>104</v>
      </c>
      <c r="D30" s="26" t="s">
        <v>154</v>
      </c>
      <c r="E30" s="27">
        <v>-14.2763</v>
      </c>
      <c r="F30" s="27">
        <v>-170.6817</v>
      </c>
      <c r="G30" s="11" t="s">
        <v>62</v>
      </c>
      <c r="H30" s="11" t="s">
        <v>69</v>
      </c>
      <c r="I30" s="11">
        <v>27.3514826382222</v>
      </c>
      <c r="K30" s="11" t="s">
        <v>65</v>
      </c>
      <c r="L30" s="11" t="s">
        <v>65</v>
      </c>
      <c r="M30" s="11" t="s">
        <v>75</v>
      </c>
      <c r="N30" s="11">
        <v>-2.22</v>
      </c>
      <c r="O30" s="11">
        <v>-1.18</v>
      </c>
      <c r="P30" s="23">
        <f t="shared" si="2"/>
        <v>-1.04</v>
      </c>
      <c r="Q30" s="24">
        <f t="shared" si="3"/>
        <v>-0.3169765315</v>
      </c>
      <c r="R30" s="11">
        <v>0.0</v>
      </c>
    </row>
    <row r="31" ht="15.75" customHeight="1">
      <c r="A31" s="21">
        <v>45835.910995370374</v>
      </c>
      <c r="B31" s="22">
        <f t="shared" si="1"/>
        <v>45835.45266</v>
      </c>
      <c r="C31" s="11" t="s">
        <v>104</v>
      </c>
      <c r="D31" s="11" t="s">
        <v>155</v>
      </c>
      <c r="E31" s="29">
        <v>-14.2763</v>
      </c>
      <c r="F31" s="29">
        <v>-170.6817</v>
      </c>
      <c r="G31" s="11" t="s">
        <v>62</v>
      </c>
      <c r="H31" s="11" t="s">
        <v>63</v>
      </c>
      <c r="I31" s="11">
        <v>20.1693308993168</v>
      </c>
      <c r="J31" s="11" t="s">
        <v>156</v>
      </c>
      <c r="K31" s="11" t="s">
        <v>65</v>
      </c>
      <c r="L31" s="11" t="s">
        <v>65</v>
      </c>
      <c r="N31" s="11">
        <v>-0.09</v>
      </c>
      <c r="O31" s="11">
        <v>-1.18</v>
      </c>
      <c r="P31" s="23">
        <f t="shared" si="2"/>
        <v>1.09</v>
      </c>
      <c r="Q31" s="24">
        <f t="shared" si="3"/>
        <v>0.3322157879</v>
      </c>
      <c r="R31" s="11">
        <v>0.0</v>
      </c>
    </row>
    <row r="32" ht="15.75" customHeight="1">
      <c r="A32" s="21">
        <v>45843.89709490741</v>
      </c>
      <c r="B32" s="22">
        <f t="shared" si="1"/>
        <v>45843.43876</v>
      </c>
      <c r="C32" s="11" t="s">
        <v>106</v>
      </c>
      <c r="D32" s="26" t="s">
        <v>157</v>
      </c>
      <c r="E32" s="29">
        <v>-14.2763</v>
      </c>
      <c r="F32" s="29">
        <v>-170.6817</v>
      </c>
      <c r="G32" s="11" t="s">
        <v>62</v>
      </c>
      <c r="H32" s="11" t="s">
        <v>63</v>
      </c>
      <c r="I32" s="11">
        <v>34.4840341589168</v>
      </c>
      <c r="K32" s="11" t="s">
        <v>64</v>
      </c>
      <c r="L32" s="11" t="s">
        <v>64</v>
      </c>
      <c r="M32" s="11" t="s">
        <v>75</v>
      </c>
      <c r="N32" s="11">
        <v>-1.77</v>
      </c>
      <c r="O32" s="11">
        <v>-1.18</v>
      </c>
      <c r="P32" s="23">
        <f t="shared" si="2"/>
        <v>-0.59</v>
      </c>
      <c r="Q32" s="24">
        <f t="shared" si="3"/>
        <v>-0.1798232246</v>
      </c>
      <c r="R32" s="11">
        <v>0.0</v>
      </c>
    </row>
    <row r="33" ht="15.75" customHeight="1">
      <c r="P33" s="23"/>
      <c r="Q33" s="24"/>
    </row>
    <row r="34" ht="15.75" customHeight="1">
      <c r="P34" s="23"/>
      <c r="Q34" s="24"/>
    </row>
    <row r="35" ht="15.75" customHeight="1">
      <c r="P35" s="23"/>
      <c r="Q35" s="24"/>
    </row>
    <row r="36" ht="15.75" customHeight="1">
      <c r="P36" s="23"/>
      <c r="Q36" s="24"/>
    </row>
    <row r="37" ht="15.75" customHeight="1">
      <c r="P37" s="23"/>
      <c r="Q37" s="24"/>
    </row>
    <row r="38" ht="15.75" customHeight="1">
      <c r="P38" s="23"/>
      <c r="Q38" s="24"/>
    </row>
    <row r="39" ht="15.75" customHeight="1">
      <c r="P39" s="23"/>
      <c r="Q39" s="24"/>
    </row>
    <row r="40" ht="15.75" customHeight="1">
      <c r="P40" s="23"/>
      <c r="Q40" s="24"/>
    </row>
    <row r="41" ht="15.75" customHeight="1">
      <c r="P41" s="23"/>
      <c r="Q41" s="24"/>
    </row>
    <row r="42" ht="15.75" customHeight="1">
      <c r="P42" s="23"/>
      <c r="Q42" s="24"/>
    </row>
    <row r="43" ht="15.75" customHeight="1">
      <c r="P43" s="23"/>
      <c r="Q43" s="24"/>
    </row>
    <row r="44" ht="15.75" customHeight="1">
      <c r="P44" s="23"/>
      <c r="Q44" s="24"/>
    </row>
    <row r="45" ht="15.75" customHeight="1">
      <c r="P45" s="23"/>
      <c r="Q45" s="24"/>
    </row>
    <row r="46" ht="15.75" customHeight="1">
      <c r="P46" s="23"/>
      <c r="Q46" s="24"/>
    </row>
    <row r="47" ht="15.75" customHeight="1">
      <c r="P47" s="23"/>
      <c r="Q47" s="24"/>
    </row>
    <row r="48" ht="15.75" customHeight="1">
      <c r="P48" s="23"/>
      <c r="Q48" s="24"/>
    </row>
    <row r="49" ht="15.75" customHeight="1">
      <c r="P49" s="23"/>
      <c r="Q49" s="24"/>
    </row>
    <row r="50" ht="15.75" customHeight="1">
      <c r="P50" s="23"/>
      <c r="Q50" s="24"/>
    </row>
    <row r="51" ht="15.75" customHeight="1">
      <c r="P51" s="23"/>
      <c r="Q51" s="24"/>
    </row>
    <row r="52" ht="15.75" customHeight="1">
      <c r="P52" s="23"/>
      <c r="Q52" s="24"/>
    </row>
    <row r="53" ht="15.75" customHeight="1">
      <c r="P53" s="23"/>
      <c r="Q53" s="24"/>
    </row>
    <row r="54" ht="15.75" customHeight="1">
      <c r="P54" s="23"/>
      <c r="Q54" s="24"/>
    </row>
    <row r="55" ht="15.75" customHeight="1">
      <c r="P55" s="23"/>
      <c r="Q55" s="24"/>
    </row>
    <row r="56" ht="15.75" customHeight="1">
      <c r="P56" s="23"/>
      <c r="Q56" s="24"/>
    </row>
    <row r="57" ht="15.75" customHeight="1">
      <c r="P57" s="23"/>
      <c r="Q57" s="24"/>
    </row>
    <row r="58" ht="15.75" customHeight="1">
      <c r="P58" s="23"/>
      <c r="Q58" s="24"/>
    </row>
    <row r="59" ht="15.75" customHeight="1">
      <c r="P59" s="23"/>
      <c r="Q59" s="24"/>
    </row>
    <row r="60" ht="15.75" customHeight="1">
      <c r="P60" s="23"/>
      <c r="Q60" s="24"/>
    </row>
    <row r="61" ht="15.75" customHeight="1">
      <c r="P61" s="23"/>
      <c r="Q61" s="24"/>
    </row>
    <row r="62" ht="15.75" customHeight="1">
      <c r="P62" s="23"/>
      <c r="Q62" s="24"/>
    </row>
    <row r="63" ht="15.75" customHeight="1">
      <c r="P63" s="23"/>
      <c r="Q63" s="24"/>
    </row>
    <row r="64" ht="15.75" customHeight="1">
      <c r="P64" s="23"/>
      <c r="Q64" s="24"/>
    </row>
    <row r="65" ht="15.75" customHeight="1">
      <c r="P65" s="23"/>
      <c r="Q65" s="24"/>
    </row>
    <row r="66" ht="15.75" customHeight="1">
      <c r="P66" s="23"/>
      <c r="Q66" s="24"/>
    </row>
    <row r="67" ht="15.75" customHeight="1">
      <c r="P67" s="23"/>
      <c r="Q67" s="24"/>
    </row>
    <row r="68" ht="15.75" customHeight="1">
      <c r="P68" s="23"/>
      <c r="Q68" s="24"/>
    </row>
    <row r="69" ht="15.75" customHeight="1">
      <c r="P69" s="23"/>
      <c r="Q69" s="24"/>
    </row>
    <row r="70" ht="15.75" customHeight="1">
      <c r="P70" s="23"/>
      <c r="Q70" s="24"/>
    </row>
    <row r="71" ht="15.75" customHeight="1">
      <c r="P71" s="23"/>
      <c r="Q71" s="24"/>
    </row>
    <row r="72" ht="15.75" customHeight="1">
      <c r="P72" s="23"/>
      <c r="Q72" s="24"/>
    </row>
    <row r="73" ht="15.75" customHeight="1">
      <c r="P73" s="23"/>
      <c r="Q73" s="24"/>
    </row>
    <row r="74" ht="15.75" customHeight="1">
      <c r="P74" s="23"/>
      <c r="Q74" s="24"/>
    </row>
    <row r="75" ht="15.75" customHeight="1">
      <c r="P75" s="23"/>
      <c r="Q75" s="24"/>
    </row>
    <row r="76" ht="15.75" customHeight="1">
      <c r="P76" s="23"/>
      <c r="Q76" s="24"/>
    </row>
    <row r="77" ht="15.75" customHeight="1">
      <c r="P77" s="23"/>
      <c r="Q77" s="24"/>
    </row>
    <row r="78" ht="15.75" customHeight="1">
      <c r="P78" s="23"/>
      <c r="Q78" s="24"/>
    </row>
    <row r="79" ht="15.75" customHeight="1">
      <c r="P79" s="23"/>
      <c r="Q79" s="24"/>
    </row>
    <row r="80" ht="15.75" customHeight="1">
      <c r="P80" s="23"/>
      <c r="Q80" s="24"/>
    </row>
    <row r="81" ht="15.75" customHeight="1">
      <c r="P81" s="23"/>
      <c r="Q81" s="24"/>
    </row>
    <row r="82" ht="15.75" customHeight="1">
      <c r="P82" s="23"/>
      <c r="Q82" s="24"/>
    </row>
    <row r="83" ht="15.75" customHeight="1">
      <c r="P83" s="23"/>
      <c r="Q83" s="24"/>
    </row>
    <row r="84" ht="15.75" customHeight="1">
      <c r="P84" s="23"/>
      <c r="Q84" s="24"/>
    </row>
    <row r="85" ht="15.75" customHeight="1">
      <c r="P85" s="23"/>
      <c r="Q85" s="24"/>
    </row>
    <row r="86" ht="15.75" customHeight="1">
      <c r="P86" s="23"/>
      <c r="Q86" s="24"/>
    </row>
    <row r="87" ht="15.75" customHeight="1">
      <c r="P87" s="23"/>
      <c r="Q87" s="24"/>
    </row>
    <row r="88" ht="15.75" customHeight="1">
      <c r="P88" s="23"/>
      <c r="Q88" s="24"/>
    </row>
    <row r="89" ht="15.75" customHeight="1">
      <c r="P89" s="23"/>
      <c r="Q89" s="24"/>
    </row>
    <row r="90" ht="15.75" customHeight="1">
      <c r="P90" s="23"/>
      <c r="Q90" s="24"/>
    </row>
    <row r="91" ht="15.75" customHeight="1">
      <c r="P91" s="23"/>
      <c r="Q91" s="24"/>
    </row>
    <row r="92" ht="15.75" customHeight="1">
      <c r="P92" s="23"/>
      <c r="Q92" s="24"/>
    </row>
    <row r="93" ht="15.75" customHeight="1">
      <c r="P93" s="23"/>
      <c r="Q93" s="24"/>
    </row>
    <row r="94" ht="15.75" customHeight="1">
      <c r="P94" s="23"/>
      <c r="Q94" s="24"/>
    </row>
    <row r="95" ht="15.75" customHeight="1">
      <c r="P95" s="23"/>
      <c r="Q95" s="24"/>
    </row>
    <row r="96" ht="15.75" customHeight="1">
      <c r="P96" s="23"/>
      <c r="Q96" s="24"/>
    </row>
    <row r="97" ht="15.75" customHeight="1">
      <c r="P97" s="23"/>
      <c r="Q97" s="24"/>
    </row>
    <row r="98" ht="15.75" customHeight="1">
      <c r="P98" s="23"/>
      <c r="Q98" s="24"/>
    </row>
    <row r="99" ht="15.75" customHeight="1">
      <c r="P99" s="23"/>
      <c r="Q99" s="24"/>
    </row>
    <row r="100" ht="15.75" customHeight="1">
      <c r="P100" s="23"/>
      <c r="Q100" s="24"/>
    </row>
    <row r="101" ht="15.75" customHeight="1">
      <c r="P101" s="23"/>
      <c r="Q101" s="24"/>
    </row>
    <row r="102" ht="15.75" customHeight="1">
      <c r="P102" s="23"/>
      <c r="Q102" s="24"/>
    </row>
    <row r="103" ht="15.75" customHeight="1">
      <c r="P103" s="23"/>
      <c r="Q103" s="24"/>
    </row>
    <row r="104" ht="15.75" customHeight="1">
      <c r="P104" s="23"/>
      <c r="Q104" s="24"/>
    </row>
    <row r="105" ht="15.75" customHeight="1">
      <c r="P105" s="23"/>
      <c r="Q105" s="24"/>
    </row>
    <row r="106" ht="15.75" customHeight="1">
      <c r="P106" s="23"/>
      <c r="Q106" s="24"/>
    </row>
    <row r="107" ht="15.75" customHeight="1">
      <c r="P107" s="23"/>
      <c r="Q107" s="24"/>
    </row>
    <row r="108" ht="15.75" customHeight="1">
      <c r="P108" s="23"/>
      <c r="Q108" s="24"/>
    </row>
    <row r="109" ht="15.75" customHeight="1">
      <c r="P109" s="23"/>
      <c r="Q109" s="24"/>
    </row>
    <row r="110" ht="15.75" customHeight="1">
      <c r="P110" s="23"/>
      <c r="Q110" s="24"/>
    </row>
    <row r="111" ht="15.75" customHeight="1">
      <c r="P111" s="23"/>
      <c r="Q111" s="24"/>
    </row>
    <row r="112" ht="15.75" customHeight="1">
      <c r="P112" s="23"/>
      <c r="Q112" s="24"/>
    </row>
    <row r="113" ht="15.75" customHeight="1">
      <c r="P113" s="23"/>
      <c r="Q113" s="24"/>
    </row>
    <row r="114" ht="15.75" customHeight="1">
      <c r="P114" s="23"/>
      <c r="Q114" s="24"/>
    </row>
    <row r="115" ht="15.75" customHeight="1">
      <c r="P115" s="23"/>
      <c r="Q115" s="24"/>
    </row>
    <row r="116" ht="15.75" customHeight="1">
      <c r="P116" s="23"/>
      <c r="Q116" s="24"/>
    </row>
    <row r="117" ht="15.75" customHeight="1">
      <c r="P117" s="23"/>
      <c r="Q117" s="24"/>
    </row>
    <row r="118" ht="15.75" customHeight="1">
      <c r="P118" s="23"/>
      <c r="Q118" s="24"/>
    </row>
    <row r="119" ht="15.75" customHeight="1">
      <c r="P119" s="23"/>
      <c r="Q119" s="24"/>
    </row>
    <row r="120" ht="15.75" customHeight="1">
      <c r="P120" s="23"/>
      <c r="Q120" s="24"/>
    </row>
    <row r="121" ht="15.75" customHeight="1">
      <c r="P121" s="23"/>
      <c r="Q121" s="24"/>
    </row>
    <row r="122" ht="15.75" customHeight="1">
      <c r="P122" s="23"/>
      <c r="Q122" s="24"/>
    </row>
    <row r="123" ht="15.75" customHeight="1">
      <c r="P123" s="23"/>
      <c r="Q123" s="24"/>
    </row>
    <row r="124" ht="15.75" customHeight="1">
      <c r="P124" s="23"/>
      <c r="Q124" s="24"/>
    </row>
    <row r="125" ht="15.75" customHeight="1">
      <c r="P125" s="23"/>
      <c r="Q125" s="24"/>
    </row>
    <row r="126" ht="15.75" customHeight="1">
      <c r="P126" s="23"/>
      <c r="Q126" s="24"/>
    </row>
    <row r="127" ht="15.75" customHeight="1">
      <c r="P127" s="23"/>
      <c r="Q127" s="24"/>
    </row>
    <row r="128" ht="15.75" customHeight="1">
      <c r="P128" s="23"/>
      <c r="Q128" s="24"/>
    </row>
    <row r="129" ht="15.75" customHeight="1">
      <c r="P129" s="23"/>
      <c r="Q129" s="24"/>
    </row>
    <row r="130" ht="15.75" customHeight="1">
      <c r="P130" s="23"/>
      <c r="Q130" s="24"/>
    </row>
    <row r="131" ht="15.75" customHeight="1">
      <c r="P131" s="23"/>
      <c r="Q131" s="24"/>
    </row>
    <row r="132" ht="15.75" customHeight="1">
      <c r="P132" s="23"/>
      <c r="Q132" s="24"/>
    </row>
    <row r="133" ht="15.75" customHeight="1">
      <c r="P133" s="23"/>
      <c r="Q133" s="24"/>
    </row>
    <row r="134" ht="15.75" customHeight="1">
      <c r="P134" s="23"/>
      <c r="Q134" s="24"/>
    </row>
    <row r="135" ht="15.75" customHeight="1">
      <c r="P135" s="23"/>
      <c r="Q135" s="24"/>
    </row>
    <row r="136" ht="15.75" customHeight="1">
      <c r="P136" s="23"/>
      <c r="Q136" s="24"/>
    </row>
    <row r="137" ht="15.75" customHeight="1">
      <c r="P137" s="23"/>
      <c r="Q137" s="24"/>
    </row>
    <row r="138" ht="15.75" customHeight="1">
      <c r="P138" s="23"/>
      <c r="Q138" s="24"/>
    </row>
    <row r="139" ht="15.75" customHeight="1">
      <c r="P139" s="23"/>
      <c r="Q139" s="24"/>
    </row>
    <row r="140" ht="15.75" customHeight="1">
      <c r="P140" s="23"/>
      <c r="Q140" s="24"/>
    </row>
    <row r="141" ht="15.75" customHeight="1">
      <c r="P141" s="23"/>
      <c r="Q141" s="24"/>
    </row>
    <row r="142" ht="15.75" customHeight="1">
      <c r="P142" s="23"/>
      <c r="Q142" s="24"/>
    </row>
    <row r="143" ht="15.75" customHeight="1">
      <c r="P143" s="23"/>
      <c r="Q143" s="24"/>
    </row>
    <row r="144" ht="15.75" customHeight="1">
      <c r="P144" s="23"/>
      <c r="Q144" s="24"/>
    </row>
    <row r="145" ht="15.75" customHeight="1">
      <c r="P145" s="23"/>
      <c r="Q145" s="24"/>
    </row>
    <row r="146" ht="15.75" customHeight="1">
      <c r="P146" s="23"/>
      <c r="Q146" s="24"/>
    </row>
    <row r="147" ht="15.75" customHeight="1">
      <c r="P147" s="23"/>
      <c r="Q147" s="24"/>
    </row>
    <row r="148" ht="15.75" customHeight="1">
      <c r="P148" s="23"/>
      <c r="Q148" s="24"/>
    </row>
    <row r="149" ht="15.75" customHeight="1">
      <c r="P149" s="23"/>
      <c r="Q149" s="24"/>
    </row>
    <row r="150" ht="15.75" customHeight="1">
      <c r="P150" s="23"/>
      <c r="Q150" s="24"/>
    </row>
    <row r="151" ht="15.75" customHeight="1">
      <c r="P151" s="23"/>
      <c r="Q151" s="24"/>
    </row>
    <row r="152" ht="15.75" customHeight="1">
      <c r="P152" s="23"/>
      <c r="Q152" s="24"/>
    </row>
    <row r="153" ht="15.75" customHeight="1">
      <c r="P153" s="23"/>
      <c r="Q153" s="24"/>
    </row>
    <row r="154" ht="15.75" customHeight="1">
      <c r="P154" s="23"/>
      <c r="Q154" s="24"/>
    </row>
    <row r="155" ht="15.75" customHeight="1">
      <c r="P155" s="23"/>
      <c r="Q155" s="24"/>
    </row>
    <row r="156" ht="15.75" customHeight="1">
      <c r="P156" s="23"/>
      <c r="Q156" s="24"/>
    </row>
    <row r="157" ht="15.75" customHeight="1">
      <c r="P157" s="23"/>
      <c r="Q157" s="24"/>
    </row>
    <row r="158" ht="15.75" customHeight="1">
      <c r="P158" s="23"/>
      <c r="Q158" s="24"/>
    </row>
    <row r="159" ht="15.75" customHeight="1">
      <c r="P159" s="23"/>
      <c r="Q159" s="24"/>
    </row>
    <row r="160" ht="15.75" customHeight="1">
      <c r="P160" s="23"/>
      <c r="Q160" s="24"/>
    </row>
    <row r="161" ht="15.75" customHeight="1">
      <c r="P161" s="23"/>
      <c r="Q161" s="24"/>
    </row>
    <row r="162" ht="15.75" customHeight="1">
      <c r="P162" s="23"/>
      <c r="Q162" s="24"/>
    </row>
    <row r="163" ht="15.75" customHeight="1">
      <c r="P163" s="23"/>
      <c r="Q163" s="24"/>
    </row>
    <row r="164" ht="15.75" customHeight="1">
      <c r="P164" s="23"/>
      <c r="Q164" s="24"/>
    </row>
    <row r="165" ht="15.75" customHeight="1">
      <c r="P165" s="23"/>
      <c r="Q165" s="24"/>
    </row>
    <row r="166" ht="15.75" customHeight="1">
      <c r="P166" s="23"/>
      <c r="Q166" s="24"/>
    </row>
    <row r="167" ht="15.75" customHeight="1">
      <c r="P167" s="23"/>
      <c r="Q167" s="24"/>
    </row>
    <row r="168" ht="15.75" customHeight="1">
      <c r="P168" s="23"/>
      <c r="Q168" s="24"/>
    </row>
    <row r="169" ht="15.75" customHeight="1">
      <c r="P169" s="23"/>
      <c r="Q169" s="24"/>
    </row>
    <row r="170" ht="15.75" customHeight="1">
      <c r="P170" s="23"/>
      <c r="Q170" s="24"/>
    </row>
    <row r="171" ht="15.75" customHeight="1">
      <c r="P171" s="23"/>
      <c r="Q171" s="24"/>
    </row>
    <row r="172" ht="15.75" customHeight="1">
      <c r="P172" s="23"/>
      <c r="Q172" s="24"/>
    </row>
    <row r="173" ht="15.75" customHeight="1">
      <c r="P173" s="23"/>
      <c r="Q173" s="24"/>
    </row>
    <row r="174" ht="15.75" customHeight="1">
      <c r="P174" s="23"/>
      <c r="Q174" s="24"/>
    </row>
    <row r="175" ht="15.75" customHeight="1">
      <c r="P175" s="23"/>
      <c r="Q175" s="24"/>
    </row>
    <row r="176" ht="15.75" customHeight="1">
      <c r="P176" s="23"/>
      <c r="Q176" s="24"/>
    </row>
    <row r="177" ht="15.75" customHeight="1">
      <c r="P177" s="23"/>
      <c r="Q177" s="24"/>
    </row>
    <row r="178" ht="15.75" customHeight="1">
      <c r="P178" s="23"/>
      <c r="Q178" s="24"/>
    </row>
    <row r="179" ht="15.75" customHeight="1">
      <c r="P179" s="23"/>
      <c r="Q179" s="24"/>
    </row>
    <row r="180" ht="15.75" customHeight="1">
      <c r="P180" s="23"/>
      <c r="Q180" s="24"/>
    </row>
    <row r="181" ht="15.75" customHeight="1">
      <c r="P181" s="23"/>
      <c r="Q181" s="24"/>
    </row>
    <row r="182" ht="15.75" customHeight="1">
      <c r="P182" s="23"/>
      <c r="Q182" s="24"/>
    </row>
    <row r="183" ht="15.75" customHeight="1">
      <c r="P183" s="23"/>
      <c r="Q183" s="24"/>
    </row>
    <row r="184" ht="15.75" customHeight="1">
      <c r="P184" s="23"/>
      <c r="Q184" s="24"/>
    </row>
    <row r="185" ht="15.75" customHeight="1">
      <c r="P185" s="23"/>
      <c r="Q185" s="24"/>
    </row>
    <row r="186" ht="15.75" customHeight="1">
      <c r="P186" s="23"/>
      <c r="Q186" s="24"/>
    </row>
    <row r="187" ht="15.75" customHeight="1">
      <c r="P187" s="23"/>
      <c r="Q187" s="24"/>
    </row>
    <row r="188" ht="15.75" customHeight="1">
      <c r="P188" s="23"/>
      <c r="Q188" s="24"/>
    </row>
    <row r="189" ht="15.75" customHeight="1">
      <c r="P189" s="23"/>
      <c r="Q189" s="24"/>
    </row>
    <row r="190" ht="15.75" customHeight="1">
      <c r="P190" s="23"/>
      <c r="Q190" s="24"/>
    </row>
    <row r="191" ht="15.75" customHeight="1">
      <c r="P191" s="23"/>
      <c r="Q191" s="24"/>
    </row>
    <row r="192" ht="15.75" customHeight="1">
      <c r="P192" s="23"/>
      <c r="Q192" s="24"/>
    </row>
    <row r="193" ht="15.75" customHeight="1">
      <c r="P193" s="23"/>
      <c r="Q193" s="24"/>
    </row>
    <row r="194" ht="15.75" customHeight="1">
      <c r="P194" s="23"/>
      <c r="Q194" s="24"/>
    </row>
    <row r="195" ht="15.75" customHeight="1">
      <c r="P195" s="23"/>
      <c r="Q195" s="24"/>
    </row>
    <row r="196" ht="15.75" customHeight="1">
      <c r="P196" s="23"/>
      <c r="Q196" s="24"/>
    </row>
    <row r="197" ht="15.75" customHeight="1">
      <c r="P197" s="23"/>
      <c r="Q197" s="24"/>
    </row>
    <row r="198" ht="15.75" customHeight="1">
      <c r="P198" s="23"/>
      <c r="Q198" s="24"/>
    </row>
    <row r="199" ht="15.75" customHeight="1">
      <c r="P199" s="23"/>
      <c r="Q199" s="24"/>
    </row>
    <row r="200" ht="15.75" customHeight="1">
      <c r="P200" s="23"/>
      <c r="Q200" s="24"/>
    </row>
    <row r="201" ht="15.75" customHeight="1">
      <c r="P201" s="23"/>
      <c r="Q201" s="24"/>
    </row>
    <row r="202" ht="15.75" customHeight="1">
      <c r="P202" s="23"/>
      <c r="Q202" s="24"/>
    </row>
    <row r="203" ht="15.75" customHeight="1">
      <c r="P203" s="23"/>
      <c r="Q203" s="24"/>
    </row>
    <row r="204" ht="15.75" customHeight="1">
      <c r="P204" s="23"/>
      <c r="Q204" s="24"/>
    </row>
    <row r="205" ht="15.75" customHeight="1">
      <c r="P205" s="23"/>
      <c r="Q205" s="24"/>
    </row>
    <row r="206" ht="15.75" customHeight="1">
      <c r="P206" s="23"/>
      <c r="Q206" s="24"/>
    </row>
    <row r="207" ht="15.75" customHeight="1">
      <c r="P207" s="23"/>
      <c r="Q207" s="24"/>
    </row>
    <row r="208" ht="15.75" customHeight="1">
      <c r="P208" s="23"/>
      <c r="Q208" s="24"/>
    </row>
    <row r="209" ht="15.75" customHeight="1">
      <c r="P209" s="23"/>
      <c r="Q209" s="24"/>
    </row>
    <row r="210" ht="15.75" customHeight="1">
      <c r="P210" s="23"/>
      <c r="Q210" s="24"/>
    </row>
    <row r="211" ht="15.75" customHeight="1">
      <c r="P211" s="23"/>
      <c r="Q211" s="24"/>
    </row>
    <row r="212" ht="15.75" customHeight="1">
      <c r="P212" s="23"/>
      <c r="Q212" s="24"/>
    </row>
    <row r="213" ht="15.75" customHeight="1">
      <c r="P213" s="23"/>
      <c r="Q213" s="24"/>
    </row>
    <row r="214" ht="15.75" customHeight="1">
      <c r="P214" s="23"/>
      <c r="Q214" s="24"/>
    </row>
    <row r="215" ht="15.75" customHeight="1">
      <c r="P215" s="23"/>
      <c r="Q215" s="24"/>
    </row>
    <row r="216" ht="15.75" customHeight="1">
      <c r="P216" s="23"/>
      <c r="Q216" s="24"/>
    </row>
    <row r="217" ht="15.75" customHeight="1">
      <c r="P217" s="23"/>
      <c r="Q217" s="24"/>
    </row>
    <row r="218" ht="15.75" customHeight="1">
      <c r="P218" s="23"/>
      <c r="Q218" s="24"/>
    </row>
    <row r="219" ht="15.75" customHeight="1">
      <c r="P219" s="23"/>
      <c r="Q219" s="24"/>
    </row>
    <row r="220" ht="15.75" customHeight="1">
      <c r="P220" s="23"/>
      <c r="Q220" s="24"/>
    </row>
    <row r="221" ht="15.75" customHeight="1">
      <c r="P221" s="23"/>
      <c r="Q221" s="24"/>
    </row>
    <row r="222" ht="15.75" customHeight="1">
      <c r="P222" s="23"/>
      <c r="Q222" s="24"/>
    </row>
    <row r="223" ht="15.75" customHeight="1">
      <c r="P223" s="23"/>
      <c r="Q223" s="24"/>
    </row>
    <row r="224" ht="15.75" customHeight="1">
      <c r="P224" s="23"/>
      <c r="Q224" s="24"/>
    </row>
    <row r="225" ht="15.75" customHeight="1">
      <c r="P225" s="23"/>
      <c r="Q225" s="24"/>
    </row>
    <row r="226" ht="15.75" customHeight="1">
      <c r="P226" s="23"/>
      <c r="Q226" s="24"/>
    </row>
    <row r="227" ht="15.75" customHeight="1">
      <c r="P227" s="23"/>
      <c r="Q227" s="24"/>
    </row>
    <row r="228" ht="15.75" customHeight="1">
      <c r="P228" s="23"/>
      <c r="Q228" s="24"/>
    </row>
    <row r="229" ht="15.75" customHeight="1">
      <c r="P229" s="23"/>
      <c r="Q229" s="24"/>
    </row>
    <row r="230" ht="15.75" customHeight="1">
      <c r="P230" s="23"/>
      <c r="Q230" s="24"/>
    </row>
    <row r="231" ht="15.75" customHeight="1">
      <c r="P231" s="23"/>
      <c r="Q231" s="24"/>
    </row>
    <row r="232" ht="15.75" customHeight="1">
      <c r="P232" s="23"/>
      <c r="Q232" s="24"/>
    </row>
    <row r="233" ht="15.75" customHeight="1">
      <c r="P233" s="23"/>
      <c r="Q233" s="24"/>
    </row>
    <row r="234" ht="15.75" customHeight="1">
      <c r="P234" s="23"/>
      <c r="Q234" s="24"/>
    </row>
    <row r="235" ht="15.75" customHeight="1">
      <c r="P235" s="23"/>
      <c r="Q235" s="24"/>
    </row>
    <row r="236" ht="15.75" customHeight="1">
      <c r="P236" s="23"/>
      <c r="Q236" s="24"/>
    </row>
    <row r="237" ht="15.75" customHeight="1">
      <c r="P237" s="23"/>
      <c r="Q237" s="24"/>
    </row>
    <row r="238" ht="15.75" customHeight="1">
      <c r="P238" s="23"/>
      <c r="Q238" s="24"/>
    </row>
    <row r="239" ht="15.75" customHeight="1">
      <c r="P239" s="23"/>
      <c r="Q239" s="24"/>
    </row>
    <row r="240" ht="15.75" customHeight="1">
      <c r="P240" s="23"/>
      <c r="Q240" s="24"/>
    </row>
    <row r="241" ht="15.75" customHeight="1">
      <c r="P241" s="23"/>
      <c r="Q241" s="24"/>
    </row>
    <row r="242" ht="15.75" customHeight="1">
      <c r="P242" s="23"/>
      <c r="Q242" s="24"/>
    </row>
    <row r="243" ht="15.75" customHeight="1">
      <c r="P243" s="23"/>
      <c r="Q243" s="24"/>
    </row>
    <row r="244" ht="15.75" customHeight="1">
      <c r="P244" s="23"/>
      <c r="Q244" s="24"/>
    </row>
    <row r="245" ht="15.75" customHeight="1">
      <c r="P245" s="23"/>
      <c r="Q245" s="24"/>
    </row>
    <row r="246" ht="15.75" customHeight="1">
      <c r="P246" s="23"/>
      <c r="Q246" s="24"/>
    </row>
    <row r="247" ht="15.75" customHeight="1">
      <c r="P247" s="23"/>
      <c r="Q247" s="24"/>
    </row>
    <row r="248" ht="15.75" customHeight="1">
      <c r="P248" s="23"/>
      <c r="Q248" s="24"/>
    </row>
    <row r="249" ht="15.75" customHeight="1">
      <c r="P249" s="23"/>
      <c r="Q249" s="24"/>
    </row>
    <row r="250" ht="15.75" customHeight="1">
      <c r="P250" s="23"/>
      <c r="Q250" s="24"/>
    </row>
    <row r="251" ht="15.75" customHeight="1">
      <c r="P251" s="23"/>
      <c r="Q251" s="24"/>
    </row>
    <row r="252" ht="15.75" customHeight="1">
      <c r="P252" s="23"/>
      <c r="Q252" s="24"/>
    </row>
    <row r="253" ht="15.75" customHeight="1">
      <c r="P253" s="23"/>
      <c r="Q253" s="24"/>
    </row>
    <row r="254" ht="15.75" customHeight="1">
      <c r="P254" s="23"/>
      <c r="Q254" s="24"/>
    </row>
    <row r="255" ht="15.75" customHeight="1">
      <c r="P255" s="23"/>
      <c r="Q255" s="24"/>
    </row>
    <row r="256" ht="15.75" customHeight="1">
      <c r="P256" s="23"/>
      <c r="Q256" s="24"/>
    </row>
    <row r="257" ht="15.75" customHeight="1">
      <c r="P257" s="23"/>
      <c r="Q257" s="24"/>
    </row>
    <row r="258" ht="15.75" customHeight="1">
      <c r="P258" s="23"/>
      <c r="Q258" s="24"/>
    </row>
    <row r="259" ht="15.75" customHeight="1">
      <c r="P259" s="23"/>
      <c r="Q259" s="24"/>
    </row>
    <row r="260" ht="15.75" customHeight="1">
      <c r="P260" s="23"/>
      <c r="Q260" s="24"/>
    </row>
    <row r="261" ht="15.75" customHeight="1">
      <c r="P261" s="23"/>
      <c r="Q261" s="24"/>
    </row>
    <row r="262" ht="15.75" customHeight="1">
      <c r="P262" s="23"/>
      <c r="Q262" s="24"/>
    </row>
    <row r="263" ht="15.75" customHeight="1">
      <c r="P263" s="23"/>
      <c r="Q263" s="24"/>
    </row>
    <row r="264" ht="15.75" customHeight="1">
      <c r="P264" s="23"/>
      <c r="Q264" s="24"/>
    </row>
    <row r="265" ht="15.75" customHeight="1">
      <c r="P265" s="23"/>
      <c r="Q265" s="24"/>
    </row>
    <row r="266" ht="15.75" customHeight="1">
      <c r="P266" s="23"/>
      <c r="Q266" s="24"/>
    </row>
    <row r="267" ht="15.75" customHeight="1">
      <c r="P267" s="23"/>
      <c r="Q267" s="24"/>
    </row>
    <row r="268" ht="15.75" customHeight="1">
      <c r="P268" s="23"/>
      <c r="Q268" s="24"/>
    </row>
    <row r="269" ht="15.75" customHeight="1">
      <c r="P269" s="23"/>
      <c r="Q269" s="24"/>
    </row>
    <row r="270" ht="15.75" customHeight="1">
      <c r="P270" s="23"/>
      <c r="Q270" s="24"/>
    </row>
    <row r="271" ht="15.75" customHeight="1">
      <c r="P271" s="23"/>
      <c r="Q271" s="24"/>
    </row>
    <row r="272" ht="15.75" customHeight="1">
      <c r="P272" s="23"/>
      <c r="Q272" s="24"/>
    </row>
    <row r="273" ht="15.75" customHeight="1">
      <c r="P273" s="23"/>
      <c r="Q273" s="24"/>
    </row>
    <row r="274" ht="15.75" customHeight="1">
      <c r="P274" s="23"/>
      <c r="Q274" s="24"/>
    </row>
    <row r="275" ht="15.75" customHeight="1">
      <c r="P275" s="23"/>
      <c r="Q275" s="24"/>
    </row>
    <row r="276" ht="15.75" customHeight="1">
      <c r="P276" s="23"/>
      <c r="Q276" s="24"/>
    </row>
    <row r="277" ht="15.75" customHeight="1">
      <c r="P277" s="23"/>
      <c r="Q277" s="24"/>
    </row>
    <row r="278" ht="15.75" customHeight="1">
      <c r="P278" s="23"/>
      <c r="Q278" s="24"/>
    </row>
    <row r="279" ht="15.75" customHeight="1">
      <c r="P279" s="23"/>
      <c r="Q279" s="24"/>
    </row>
    <row r="280" ht="15.75" customHeight="1">
      <c r="P280" s="23"/>
      <c r="Q280" s="24"/>
    </row>
    <row r="281" ht="15.75" customHeight="1">
      <c r="P281" s="23"/>
      <c r="Q281" s="24"/>
    </row>
    <row r="282" ht="15.75" customHeight="1">
      <c r="P282" s="23"/>
      <c r="Q282" s="24"/>
    </row>
    <row r="283" ht="15.75" customHeight="1">
      <c r="P283" s="23"/>
      <c r="Q283" s="24"/>
    </row>
    <row r="284" ht="15.75" customHeight="1">
      <c r="P284" s="23"/>
      <c r="Q284" s="24"/>
    </row>
    <row r="285" ht="15.75" customHeight="1">
      <c r="P285" s="23"/>
      <c r="Q285" s="24"/>
    </row>
    <row r="286" ht="15.75" customHeight="1">
      <c r="P286" s="23"/>
      <c r="Q286" s="24"/>
    </row>
    <row r="287" ht="15.75" customHeight="1">
      <c r="P287" s="23"/>
      <c r="Q287" s="24"/>
    </row>
    <row r="288" ht="15.75" customHeight="1">
      <c r="P288" s="23"/>
      <c r="Q288" s="24"/>
    </row>
    <row r="289" ht="15.75" customHeight="1">
      <c r="P289" s="23"/>
      <c r="Q289" s="24"/>
    </row>
    <row r="290" ht="15.75" customHeight="1">
      <c r="P290" s="23"/>
      <c r="Q290" s="24"/>
    </row>
    <row r="291" ht="15.75" customHeight="1">
      <c r="P291" s="23"/>
      <c r="Q291" s="24"/>
    </row>
    <row r="292" ht="15.75" customHeight="1">
      <c r="P292" s="23"/>
      <c r="Q292" s="24"/>
    </row>
    <row r="293" ht="15.75" customHeight="1">
      <c r="P293" s="23"/>
      <c r="Q293" s="24"/>
    </row>
    <row r="294" ht="15.75" customHeight="1">
      <c r="P294" s="23"/>
      <c r="Q294" s="24"/>
    </row>
    <row r="295" ht="15.75" customHeight="1">
      <c r="P295" s="23"/>
      <c r="Q295" s="24"/>
    </row>
    <row r="296" ht="15.75" customHeight="1">
      <c r="P296" s="23"/>
      <c r="Q296" s="24"/>
    </row>
    <row r="297" ht="15.75" customHeight="1">
      <c r="P297" s="23"/>
      <c r="Q297" s="24"/>
    </row>
    <row r="298" ht="15.75" customHeight="1">
      <c r="P298" s="23"/>
      <c r="Q298" s="24"/>
    </row>
    <row r="299" ht="15.75" customHeight="1">
      <c r="P299" s="23"/>
      <c r="Q299" s="24"/>
    </row>
    <row r="300" ht="15.75" customHeight="1">
      <c r="P300" s="23"/>
      <c r="Q300" s="24"/>
    </row>
    <row r="301" ht="15.75" customHeight="1">
      <c r="P301" s="23"/>
      <c r="Q301" s="24"/>
    </row>
    <row r="302" ht="15.75" customHeight="1">
      <c r="P302" s="23"/>
      <c r="Q302" s="24"/>
    </row>
    <row r="303" ht="15.75" customHeight="1">
      <c r="P303" s="23"/>
      <c r="Q303" s="24"/>
    </row>
    <row r="304" ht="15.75" customHeight="1">
      <c r="P304" s="23"/>
      <c r="Q304" s="24"/>
    </row>
    <row r="305" ht="15.75" customHeight="1">
      <c r="P305" s="23"/>
      <c r="Q305" s="24"/>
    </row>
    <row r="306" ht="15.75" customHeight="1">
      <c r="P306" s="23"/>
      <c r="Q306" s="24"/>
    </row>
    <row r="307" ht="15.75" customHeight="1">
      <c r="P307" s="23"/>
      <c r="Q307" s="24"/>
    </row>
    <row r="308" ht="15.75" customHeight="1">
      <c r="P308" s="23"/>
      <c r="Q308" s="24"/>
    </row>
    <row r="309" ht="15.75" customHeight="1">
      <c r="P309" s="23"/>
      <c r="Q309" s="24"/>
    </row>
    <row r="310" ht="15.75" customHeight="1">
      <c r="P310" s="23"/>
      <c r="Q310" s="24"/>
    </row>
    <row r="311" ht="15.75" customHeight="1">
      <c r="P311" s="23"/>
      <c r="Q311" s="24"/>
    </row>
    <row r="312" ht="15.75" customHeight="1">
      <c r="P312" s="23"/>
      <c r="Q312" s="24"/>
    </row>
    <row r="313" ht="15.75" customHeight="1">
      <c r="P313" s="23"/>
      <c r="Q313" s="24"/>
    </row>
    <row r="314" ht="15.75" customHeight="1">
      <c r="P314" s="23"/>
      <c r="Q314" s="24"/>
    </row>
    <row r="315" ht="15.75" customHeight="1">
      <c r="P315" s="23"/>
      <c r="Q315" s="24"/>
    </row>
    <row r="316" ht="15.75" customHeight="1">
      <c r="P316" s="23"/>
      <c r="Q316" s="24"/>
    </row>
    <row r="317" ht="15.75" customHeight="1">
      <c r="P317" s="23"/>
      <c r="Q317" s="24"/>
    </row>
    <row r="318" ht="15.75" customHeight="1">
      <c r="P318" s="23"/>
      <c r="Q318" s="24"/>
    </row>
    <row r="319" ht="15.75" customHeight="1">
      <c r="P319" s="23"/>
      <c r="Q319" s="24"/>
    </row>
    <row r="320" ht="15.75" customHeight="1">
      <c r="P320" s="23"/>
      <c r="Q320" s="24"/>
    </row>
    <row r="321" ht="15.75" customHeight="1">
      <c r="P321" s="23"/>
      <c r="Q321" s="24"/>
    </row>
    <row r="322" ht="15.75" customHeight="1">
      <c r="P322" s="23"/>
      <c r="Q322" s="24"/>
    </row>
    <row r="323" ht="15.75" customHeight="1">
      <c r="P323" s="23"/>
      <c r="Q323" s="24"/>
    </row>
    <row r="324" ht="15.75" customHeight="1">
      <c r="P324" s="23"/>
      <c r="Q324" s="24"/>
    </row>
    <row r="325" ht="15.75" customHeight="1">
      <c r="P325" s="23"/>
      <c r="Q325" s="24"/>
    </row>
    <row r="326" ht="15.75" customHeight="1">
      <c r="P326" s="23"/>
      <c r="Q326" s="24"/>
    </row>
    <row r="327" ht="15.75" customHeight="1">
      <c r="P327" s="23"/>
      <c r="Q327" s="24"/>
    </row>
    <row r="328" ht="15.75" customHeight="1">
      <c r="P328" s="23"/>
      <c r="Q328" s="24"/>
    </row>
    <row r="329" ht="15.75" customHeight="1">
      <c r="P329" s="23"/>
      <c r="Q329" s="24"/>
    </row>
    <row r="330" ht="15.75" customHeight="1">
      <c r="P330" s="23"/>
      <c r="Q330" s="24"/>
    </row>
    <row r="331" ht="15.75" customHeight="1">
      <c r="P331" s="23"/>
      <c r="Q331" s="24"/>
    </row>
    <row r="332" ht="15.75" customHeight="1">
      <c r="P332" s="23"/>
      <c r="Q332" s="24"/>
    </row>
    <row r="333" ht="15.75" customHeight="1">
      <c r="P333" s="23"/>
      <c r="Q333" s="24"/>
    </row>
    <row r="334" ht="15.75" customHeight="1">
      <c r="P334" s="23"/>
      <c r="Q334" s="24"/>
    </row>
    <row r="335" ht="15.75" customHeight="1">
      <c r="P335" s="23"/>
      <c r="Q335" s="24"/>
    </row>
    <row r="336" ht="15.75" customHeight="1">
      <c r="P336" s="23"/>
      <c r="Q336" s="24"/>
    </row>
    <row r="337" ht="15.75" customHeight="1">
      <c r="P337" s="23"/>
      <c r="Q337" s="24"/>
    </row>
    <row r="338" ht="15.75" customHeight="1">
      <c r="P338" s="23"/>
      <c r="Q338" s="24"/>
    </row>
    <row r="339" ht="15.75" customHeight="1">
      <c r="P339" s="23"/>
      <c r="Q339" s="24"/>
    </row>
    <row r="340" ht="15.75" customHeight="1">
      <c r="P340" s="23"/>
      <c r="Q340" s="24"/>
    </row>
    <row r="341" ht="15.75" customHeight="1">
      <c r="P341" s="23"/>
      <c r="Q341" s="24"/>
    </row>
    <row r="342" ht="15.75" customHeight="1">
      <c r="P342" s="23"/>
      <c r="Q342" s="24"/>
    </row>
    <row r="343" ht="15.75" customHeight="1">
      <c r="P343" s="23"/>
      <c r="Q343" s="24"/>
    </row>
    <row r="344" ht="15.75" customHeight="1">
      <c r="P344" s="23"/>
      <c r="Q344" s="24"/>
    </row>
    <row r="345" ht="15.75" customHeight="1">
      <c r="P345" s="23"/>
      <c r="Q345" s="24"/>
    </row>
    <row r="346" ht="15.75" customHeight="1">
      <c r="P346" s="23"/>
      <c r="Q346" s="24"/>
    </row>
    <row r="347" ht="15.75" customHeight="1">
      <c r="P347" s="23"/>
      <c r="Q347" s="24"/>
    </row>
    <row r="348" ht="15.75" customHeight="1">
      <c r="P348" s="23"/>
      <c r="Q348" s="24"/>
    </row>
    <row r="349" ht="15.75" customHeight="1">
      <c r="P349" s="23"/>
      <c r="Q349" s="24"/>
    </row>
    <row r="350" ht="15.75" customHeight="1">
      <c r="P350" s="23"/>
      <c r="Q350" s="24"/>
    </row>
    <row r="351" ht="15.75" customHeight="1">
      <c r="P351" s="23"/>
      <c r="Q351" s="24"/>
    </row>
    <row r="352" ht="15.75" customHeight="1">
      <c r="P352" s="23"/>
      <c r="Q352" s="24"/>
    </row>
    <row r="353" ht="15.75" customHeight="1">
      <c r="P353" s="23"/>
      <c r="Q353" s="24"/>
    </row>
    <row r="354" ht="15.75" customHeight="1">
      <c r="P354" s="23"/>
      <c r="Q354" s="24"/>
    </row>
    <row r="355" ht="15.75" customHeight="1">
      <c r="P355" s="23"/>
      <c r="Q355" s="24"/>
    </row>
    <row r="356" ht="15.75" customHeight="1">
      <c r="P356" s="23"/>
      <c r="Q356" s="24"/>
    </row>
    <row r="357" ht="15.75" customHeight="1">
      <c r="P357" s="23"/>
      <c r="Q357" s="24"/>
    </row>
    <row r="358" ht="15.75" customHeight="1">
      <c r="P358" s="23"/>
      <c r="Q358" s="24"/>
    </row>
    <row r="359" ht="15.75" customHeight="1">
      <c r="P359" s="23"/>
      <c r="Q359" s="24"/>
    </row>
    <row r="360" ht="15.75" customHeight="1">
      <c r="P360" s="23"/>
      <c r="Q360" s="24"/>
    </row>
    <row r="361" ht="15.75" customHeight="1">
      <c r="P361" s="23"/>
      <c r="Q361" s="24"/>
    </row>
    <row r="362" ht="15.75" customHeight="1">
      <c r="P362" s="23"/>
      <c r="Q362" s="24"/>
    </row>
    <row r="363" ht="15.75" customHeight="1">
      <c r="P363" s="23"/>
      <c r="Q363" s="24"/>
    </row>
    <row r="364" ht="15.75" customHeight="1">
      <c r="P364" s="23"/>
      <c r="Q364" s="24"/>
    </row>
    <row r="365" ht="15.75" customHeight="1">
      <c r="P365" s="23"/>
      <c r="Q365" s="24"/>
    </row>
    <row r="366" ht="15.75" customHeight="1">
      <c r="P366" s="23"/>
      <c r="Q366" s="24"/>
    </row>
    <row r="367" ht="15.75" customHeight="1">
      <c r="P367" s="23"/>
      <c r="Q367" s="24"/>
    </row>
    <row r="368" ht="15.75" customHeight="1">
      <c r="P368" s="23"/>
      <c r="Q368" s="24"/>
    </row>
    <row r="369" ht="15.75" customHeight="1">
      <c r="P369" s="23"/>
      <c r="Q369" s="24"/>
    </row>
    <row r="370" ht="15.75" customHeight="1">
      <c r="P370" s="23"/>
      <c r="Q370" s="24"/>
    </row>
    <row r="371" ht="15.75" customHeight="1">
      <c r="P371" s="23"/>
      <c r="Q371" s="24"/>
    </row>
    <row r="372" ht="15.75" customHeight="1">
      <c r="P372" s="23"/>
      <c r="Q372" s="24"/>
    </row>
    <row r="373" ht="15.75" customHeight="1">
      <c r="P373" s="23"/>
      <c r="Q373" s="24"/>
    </row>
    <row r="374" ht="15.75" customHeight="1">
      <c r="P374" s="23"/>
      <c r="Q374" s="24"/>
    </row>
    <row r="375" ht="15.75" customHeight="1">
      <c r="P375" s="23"/>
      <c r="Q375" s="24"/>
    </row>
    <row r="376" ht="15.75" customHeight="1">
      <c r="P376" s="23"/>
      <c r="Q376" s="24"/>
    </row>
    <row r="377" ht="15.75" customHeight="1">
      <c r="P377" s="23"/>
      <c r="Q377" s="24"/>
    </row>
    <row r="378" ht="15.75" customHeight="1">
      <c r="P378" s="23"/>
      <c r="Q378" s="24"/>
    </row>
    <row r="379" ht="15.75" customHeight="1">
      <c r="P379" s="23"/>
      <c r="Q379" s="24"/>
    </row>
    <row r="380" ht="15.75" customHeight="1">
      <c r="P380" s="23"/>
      <c r="Q380" s="24"/>
    </row>
    <row r="381" ht="15.75" customHeight="1">
      <c r="P381" s="23"/>
      <c r="Q381" s="24"/>
    </row>
    <row r="382" ht="15.75" customHeight="1">
      <c r="P382" s="23"/>
      <c r="Q382" s="24"/>
    </row>
    <row r="383" ht="15.75" customHeight="1">
      <c r="P383" s="23"/>
      <c r="Q383" s="24"/>
    </row>
    <row r="384" ht="15.75" customHeight="1">
      <c r="P384" s="23"/>
      <c r="Q384" s="24"/>
    </row>
    <row r="385" ht="15.75" customHeight="1">
      <c r="P385" s="23"/>
      <c r="Q385" s="24"/>
    </row>
    <row r="386" ht="15.75" customHeight="1">
      <c r="P386" s="23"/>
      <c r="Q386" s="24"/>
    </row>
    <row r="387" ht="15.75" customHeight="1">
      <c r="P387" s="23"/>
      <c r="Q387" s="24"/>
    </row>
    <row r="388" ht="15.75" customHeight="1">
      <c r="P388" s="23"/>
      <c r="Q388" s="24"/>
    </row>
    <row r="389" ht="15.75" customHeight="1">
      <c r="P389" s="23"/>
      <c r="Q389" s="24"/>
    </row>
    <row r="390" ht="15.75" customHeight="1">
      <c r="P390" s="23"/>
      <c r="Q390" s="24"/>
    </row>
    <row r="391" ht="15.75" customHeight="1">
      <c r="P391" s="23"/>
      <c r="Q391" s="24"/>
    </row>
    <row r="392" ht="15.75" customHeight="1">
      <c r="P392" s="23"/>
      <c r="Q392" s="24"/>
    </row>
    <row r="393" ht="15.75" customHeight="1">
      <c r="P393" s="23"/>
      <c r="Q393" s="24"/>
    </row>
    <row r="394" ht="15.75" customHeight="1">
      <c r="P394" s="23"/>
      <c r="Q394" s="24"/>
    </row>
    <row r="395" ht="15.75" customHeight="1">
      <c r="P395" s="23"/>
      <c r="Q395" s="24"/>
    </row>
    <row r="396" ht="15.75" customHeight="1">
      <c r="P396" s="23"/>
      <c r="Q396" s="24"/>
    </row>
    <row r="397" ht="15.75" customHeight="1">
      <c r="P397" s="23"/>
      <c r="Q397" s="24"/>
    </row>
    <row r="398" ht="15.75" customHeight="1">
      <c r="P398" s="23"/>
      <c r="Q398" s="24"/>
    </row>
    <row r="399" ht="15.75" customHeight="1">
      <c r="P399" s="23"/>
      <c r="Q399" s="24"/>
    </row>
    <row r="400" ht="15.75" customHeight="1">
      <c r="P400" s="23"/>
      <c r="Q400" s="24"/>
    </row>
    <row r="401" ht="15.75" customHeight="1">
      <c r="P401" s="23"/>
      <c r="Q401" s="24"/>
    </row>
    <row r="402" ht="15.75" customHeight="1">
      <c r="P402" s="23"/>
      <c r="Q402" s="24"/>
    </row>
    <row r="403" ht="15.75" customHeight="1">
      <c r="P403" s="23"/>
      <c r="Q403" s="24"/>
    </row>
    <row r="404" ht="15.75" customHeight="1">
      <c r="P404" s="23"/>
      <c r="Q404" s="24"/>
    </row>
    <row r="405" ht="15.75" customHeight="1">
      <c r="P405" s="23"/>
      <c r="Q405" s="24"/>
    </row>
    <row r="406" ht="15.75" customHeight="1">
      <c r="P406" s="23"/>
      <c r="Q406" s="24"/>
    </row>
    <row r="407" ht="15.75" customHeight="1">
      <c r="P407" s="23"/>
      <c r="Q407" s="24"/>
    </row>
    <row r="408" ht="15.75" customHeight="1">
      <c r="P408" s="23"/>
      <c r="Q408" s="24"/>
    </row>
    <row r="409" ht="15.75" customHeight="1">
      <c r="P409" s="23"/>
      <c r="Q409" s="24"/>
    </row>
    <row r="410" ht="15.75" customHeight="1">
      <c r="P410" s="23"/>
      <c r="Q410" s="24"/>
    </row>
    <row r="411" ht="15.75" customHeight="1">
      <c r="P411" s="23"/>
      <c r="Q411" s="24"/>
    </row>
    <row r="412" ht="15.75" customHeight="1">
      <c r="P412" s="23"/>
      <c r="Q412" s="24"/>
    </row>
    <row r="413" ht="15.75" customHeight="1">
      <c r="P413" s="23"/>
      <c r="Q413" s="24"/>
    </row>
    <row r="414" ht="15.75" customHeight="1">
      <c r="P414" s="23"/>
      <c r="Q414" s="24"/>
    </row>
    <row r="415" ht="15.75" customHeight="1">
      <c r="P415" s="23"/>
      <c r="Q415" s="24"/>
    </row>
    <row r="416" ht="15.75" customHeight="1">
      <c r="P416" s="23"/>
      <c r="Q416" s="24"/>
    </row>
    <row r="417" ht="15.75" customHeight="1">
      <c r="P417" s="23"/>
      <c r="Q417" s="24"/>
    </row>
    <row r="418" ht="15.75" customHeight="1">
      <c r="P418" s="23"/>
      <c r="Q418" s="24"/>
    </row>
    <row r="419" ht="15.75" customHeight="1">
      <c r="P419" s="23"/>
      <c r="Q419" s="24"/>
    </row>
    <row r="420" ht="15.75" customHeight="1">
      <c r="P420" s="23"/>
      <c r="Q420" s="24"/>
    </row>
    <row r="421" ht="15.75" customHeight="1">
      <c r="P421" s="23"/>
      <c r="Q421" s="24"/>
    </row>
    <row r="422" ht="15.75" customHeight="1">
      <c r="P422" s="23"/>
      <c r="Q422" s="24"/>
    </row>
    <row r="423" ht="15.75" customHeight="1">
      <c r="P423" s="23"/>
      <c r="Q423" s="24"/>
    </row>
    <row r="424" ht="15.75" customHeight="1">
      <c r="P424" s="23"/>
      <c r="Q424" s="24"/>
    </row>
    <row r="425" ht="15.75" customHeight="1">
      <c r="P425" s="23"/>
      <c r="Q425" s="24"/>
    </row>
    <row r="426" ht="15.75" customHeight="1">
      <c r="P426" s="23"/>
      <c r="Q426" s="24"/>
    </row>
    <row r="427" ht="15.75" customHeight="1">
      <c r="P427" s="23"/>
      <c r="Q427" s="24"/>
    </row>
    <row r="428" ht="15.75" customHeight="1">
      <c r="P428" s="23"/>
      <c r="Q428" s="24"/>
    </row>
    <row r="429" ht="15.75" customHeight="1">
      <c r="P429" s="23"/>
      <c r="Q429" s="24"/>
    </row>
    <row r="430" ht="15.75" customHeight="1">
      <c r="P430" s="23"/>
      <c r="Q430" s="24"/>
    </row>
    <row r="431" ht="15.75" customHeight="1">
      <c r="P431" s="23"/>
      <c r="Q431" s="24"/>
    </row>
    <row r="432" ht="15.75" customHeight="1">
      <c r="P432" s="23"/>
      <c r="Q432" s="24"/>
    </row>
    <row r="433" ht="15.75" customHeight="1">
      <c r="P433" s="23"/>
      <c r="Q433" s="24"/>
    </row>
    <row r="434" ht="15.75" customHeight="1">
      <c r="P434" s="23"/>
      <c r="Q434" s="24"/>
    </row>
    <row r="435" ht="15.75" customHeight="1">
      <c r="P435" s="23"/>
      <c r="Q435" s="24"/>
    </row>
    <row r="436" ht="15.75" customHeight="1">
      <c r="P436" s="23"/>
      <c r="Q436" s="24"/>
    </row>
    <row r="437" ht="15.75" customHeight="1">
      <c r="P437" s="23"/>
      <c r="Q437" s="24"/>
    </row>
    <row r="438" ht="15.75" customHeight="1">
      <c r="P438" s="23"/>
      <c r="Q438" s="24"/>
    </row>
    <row r="439" ht="15.75" customHeight="1">
      <c r="P439" s="23"/>
      <c r="Q439" s="24"/>
    </row>
    <row r="440" ht="15.75" customHeight="1">
      <c r="P440" s="23"/>
      <c r="Q440" s="24"/>
    </row>
    <row r="441" ht="15.75" customHeight="1">
      <c r="P441" s="23"/>
      <c r="Q441" s="24"/>
    </row>
    <row r="442" ht="15.75" customHeight="1">
      <c r="P442" s="23"/>
      <c r="Q442" s="24"/>
    </row>
    <row r="443" ht="15.75" customHeight="1">
      <c r="P443" s="23"/>
      <c r="Q443" s="24"/>
    </row>
    <row r="444" ht="15.75" customHeight="1">
      <c r="P444" s="23"/>
      <c r="Q444" s="24"/>
    </row>
    <row r="445" ht="15.75" customHeight="1">
      <c r="P445" s="23"/>
      <c r="Q445" s="24"/>
    </row>
    <row r="446" ht="15.75" customHeight="1">
      <c r="P446" s="23"/>
      <c r="Q446" s="24"/>
    </row>
    <row r="447" ht="15.75" customHeight="1">
      <c r="P447" s="23"/>
      <c r="Q447" s="24"/>
    </row>
    <row r="448" ht="15.75" customHeight="1">
      <c r="P448" s="23"/>
      <c r="Q448" s="24"/>
    </row>
    <row r="449" ht="15.75" customHeight="1">
      <c r="P449" s="23"/>
      <c r="Q449" s="24"/>
    </row>
    <row r="450" ht="15.75" customHeight="1">
      <c r="P450" s="23"/>
      <c r="Q450" s="24"/>
    </row>
    <row r="451" ht="15.75" customHeight="1">
      <c r="P451" s="23"/>
      <c r="Q451" s="24"/>
    </row>
    <row r="452" ht="15.75" customHeight="1">
      <c r="P452" s="23"/>
      <c r="Q452" s="24"/>
    </row>
    <row r="453" ht="15.75" customHeight="1">
      <c r="P453" s="23"/>
      <c r="Q453" s="24"/>
    </row>
    <row r="454" ht="15.75" customHeight="1">
      <c r="P454" s="23"/>
      <c r="Q454" s="24"/>
    </row>
    <row r="455" ht="15.75" customHeight="1">
      <c r="P455" s="23"/>
      <c r="Q455" s="24"/>
    </row>
    <row r="456" ht="15.75" customHeight="1">
      <c r="P456" s="23"/>
      <c r="Q456" s="24"/>
    </row>
    <row r="457" ht="15.75" customHeight="1">
      <c r="P457" s="23"/>
      <c r="Q457" s="24"/>
    </row>
    <row r="458" ht="15.75" customHeight="1">
      <c r="P458" s="23"/>
      <c r="Q458" s="24"/>
    </row>
    <row r="459" ht="15.75" customHeight="1">
      <c r="P459" s="23"/>
      <c r="Q459" s="24"/>
    </row>
    <row r="460" ht="15.75" customHeight="1">
      <c r="P460" s="23"/>
      <c r="Q460" s="24"/>
    </row>
    <row r="461" ht="15.75" customHeight="1">
      <c r="P461" s="23"/>
      <c r="Q461" s="24"/>
    </row>
    <row r="462" ht="15.75" customHeight="1">
      <c r="P462" s="23"/>
      <c r="Q462" s="24"/>
    </row>
    <row r="463" ht="15.75" customHeight="1">
      <c r="P463" s="23"/>
      <c r="Q463" s="24"/>
    </row>
    <row r="464" ht="15.75" customHeight="1">
      <c r="P464" s="23"/>
      <c r="Q464" s="24"/>
    </row>
    <row r="465" ht="15.75" customHeight="1">
      <c r="P465" s="23"/>
      <c r="Q465" s="24"/>
    </row>
    <row r="466" ht="15.75" customHeight="1">
      <c r="P466" s="23"/>
      <c r="Q466" s="24"/>
    </row>
    <row r="467" ht="15.75" customHeight="1">
      <c r="P467" s="23"/>
      <c r="Q467" s="24"/>
    </row>
    <row r="468" ht="15.75" customHeight="1">
      <c r="P468" s="23"/>
      <c r="Q468" s="24"/>
    </row>
    <row r="469" ht="15.75" customHeight="1">
      <c r="P469" s="23"/>
      <c r="Q469" s="24"/>
    </row>
    <row r="470" ht="15.75" customHeight="1">
      <c r="P470" s="23"/>
      <c r="Q470" s="24"/>
    </row>
    <row r="471" ht="15.75" customHeight="1">
      <c r="P471" s="23"/>
      <c r="Q471" s="24"/>
    </row>
    <row r="472" ht="15.75" customHeight="1">
      <c r="P472" s="23"/>
      <c r="Q472" s="24"/>
    </row>
    <row r="473" ht="15.75" customHeight="1">
      <c r="P473" s="23"/>
      <c r="Q473" s="24"/>
    </row>
    <row r="474" ht="15.75" customHeight="1">
      <c r="P474" s="23"/>
      <c r="Q474" s="24"/>
    </row>
    <row r="475" ht="15.75" customHeight="1">
      <c r="P475" s="23"/>
      <c r="Q475" s="24"/>
    </row>
    <row r="476" ht="15.75" customHeight="1">
      <c r="P476" s="23"/>
      <c r="Q476" s="24"/>
    </row>
    <row r="477" ht="15.75" customHeight="1">
      <c r="P477" s="23"/>
      <c r="Q477" s="24"/>
    </row>
    <row r="478" ht="15.75" customHeight="1">
      <c r="P478" s="23"/>
      <c r="Q478" s="24"/>
    </row>
    <row r="479" ht="15.75" customHeight="1">
      <c r="P479" s="23"/>
      <c r="Q479" s="24"/>
    </row>
    <row r="480" ht="15.75" customHeight="1">
      <c r="P480" s="23"/>
      <c r="Q480" s="24"/>
    </row>
    <row r="481" ht="15.75" customHeight="1">
      <c r="P481" s="23"/>
      <c r="Q481" s="24"/>
    </row>
    <row r="482" ht="15.75" customHeight="1">
      <c r="P482" s="23"/>
      <c r="Q482" s="24"/>
    </row>
    <row r="483" ht="15.75" customHeight="1">
      <c r="P483" s="23"/>
      <c r="Q483" s="24"/>
    </row>
    <row r="484" ht="15.75" customHeight="1">
      <c r="P484" s="23"/>
      <c r="Q484" s="24"/>
    </row>
    <row r="485" ht="15.75" customHeight="1">
      <c r="P485" s="23"/>
      <c r="Q485" s="24"/>
    </row>
    <row r="486" ht="15.75" customHeight="1">
      <c r="P486" s="23"/>
      <c r="Q486" s="24"/>
    </row>
    <row r="487" ht="15.75" customHeight="1">
      <c r="P487" s="23"/>
      <c r="Q487" s="24"/>
    </row>
    <row r="488" ht="15.75" customHeight="1">
      <c r="P488" s="23"/>
      <c r="Q488" s="24"/>
    </row>
    <row r="489" ht="15.75" customHeight="1">
      <c r="P489" s="23"/>
      <c r="Q489" s="24"/>
    </row>
    <row r="490" ht="15.75" customHeight="1">
      <c r="P490" s="23"/>
      <c r="Q490" s="24"/>
    </row>
    <row r="491" ht="15.75" customHeight="1">
      <c r="P491" s="23"/>
      <c r="Q491" s="24"/>
    </row>
    <row r="492" ht="15.75" customHeight="1">
      <c r="P492" s="23"/>
      <c r="Q492" s="24"/>
    </row>
    <row r="493" ht="15.75" customHeight="1">
      <c r="P493" s="23"/>
      <c r="Q493" s="24"/>
    </row>
    <row r="494" ht="15.75" customHeight="1">
      <c r="P494" s="23"/>
      <c r="Q494" s="24"/>
    </row>
    <row r="495" ht="15.75" customHeight="1">
      <c r="P495" s="23"/>
      <c r="Q495" s="24"/>
    </row>
    <row r="496" ht="15.75" customHeight="1">
      <c r="P496" s="23"/>
      <c r="Q496" s="24"/>
    </row>
    <row r="497" ht="15.75" customHeight="1">
      <c r="P497" s="23"/>
      <c r="Q497" s="24"/>
    </row>
    <row r="498" ht="15.75" customHeight="1">
      <c r="P498" s="23"/>
      <c r="Q498" s="24"/>
    </row>
    <row r="499" ht="15.75" customHeight="1">
      <c r="P499" s="23"/>
      <c r="Q499" s="24"/>
    </row>
    <row r="500" ht="15.75" customHeight="1">
      <c r="P500" s="23"/>
      <c r="Q500" s="24"/>
    </row>
    <row r="501" ht="15.75" customHeight="1">
      <c r="P501" s="23"/>
      <c r="Q501" s="24"/>
    </row>
    <row r="502" ht="15.75" customHeight="1">
      <c r="P502" s="23"/>
      <c r="Q502" s="24"/>
    </row>
    <row r="503" ht="15.75" customHeight="1">
      <c r="P503" s="23"/>
      <c r="Q503" s="24"/>
    </row>
    <row r="504" ht="15.75" customHeight="1">
      <c r="P504" s="23"/>
      <c r="Q504" s="24"/>
    </row>
    <row r="505" ht="15.75" customHeight="1">
      <c r="P505" s="23"/>
      <c r="Q505" s="24"/>
    </row>
    <row r="506" ht="15.75" customHeight="1">
      <c r="P506" s="23"/>
      <c r="Q506" s="24"/>
    </row>
    <row r="507" ht="15.75" customHeight="1">
      <c r="P507" s="23"/>
      <c r="Q507" s="24"/>
    </row>
    <row r="508" ht="15.75" customHeight="1">
      <c r="P508" s="23"/>
      <c r="Q508" s="24"/>
    </row>
    <row r="509" ht="15.75" customHeight="1">
      <c r="P509" s="23"/>
      <c r="Q509" s="24"/>
    </row>
    <row r="510" ht="15.75" customHeight="1">
      <c r="P510" s="23"/>
      <c r="Q510" s="24"/>
    </row>
    <row r="511" ht="15.75" customHeight="1">
      <c r="P511" s="23"/>
      <c r="Q511" s="24"/>
    </row>
    <row r="512" ht="15.75" customHeight="1">
      <c r="P512" s="23"/>
      <c r="Q512" s="24"/>
    </row>
    <row r="513" ht="15.75" customHeight="1">
      <c r="P513" s="23"/>
      <c r="Q513" s="24"/>
    </row>
    <row r="514" ht="15.75" customHeight="1">
      <c r="P514" s="23"/>
      <c r="Q514" s="24"/>
    </row>
    <row r="515" ht="15.75" customHeight="1">
      <c r="P515" s="23"/>
      <c r="Q515" s="24"/>
    </row>
    <row r="516" ht="15.75" customHeight="1">
      <c r="P516" s="23"/>
      <c r="Q516" s="24"/>
    </row>
    <row r="517" ht="15.75" customHeight="1">
      <c r="P517" s="23"/>
      <c r="Q517" s="24"/>
    </row>
    <row r="518" ht="15.75" customHeight="1">
      <c r="P518" s="23"/>
      <c r="Q518" s="24"/>
    </row>
    <row r="519" ht="15.75" customHeight="1">
      <c r="P519" s="23"/>
      <c r="Q519" s="24"/>
    </row>
    <row r="520" ht="15.75" customHeight="1">
      <c r="P520" s="23"/>
      <c r="Q520" s="24"/>
    </row>
    <row r="521" ht="15.75" customHeight="1">
      <c r="P521" s="23"/>
      <c r="Q521" s="24"/>
    </row>
    <row r="522" ht="15.75" customHeight="1">
      <c r="P522" s="23"/>
      <c r="Q522" s="24"/>
    </row>
    <row r="523" ht="15.75" customHeight="1">
      <c r="P523" s="23"/>
      <c r="Q523" s="24"/>
    </row>
    <row r="524" ht="15.75" customHeight="1">
      <c r="P524" s="23"/>
      <c r="Q524" s="24"/>
    </row>
    <row r="525" ht="15.75" customHeight="1">
      <c r="P525" s="23"/>
      <c r="Q525" s="24"/>
    </row>
    <row r="526" ht="15.75" customHeight="1">
      <c r="P526" s="23"/>
      <c r="Q526" s="24"/>
    </row>
    <row r="527" ht="15.75" customHeight="1">
      <c r="P527" s="23"/>
      <c r="Q527" s="24"/>
    </row>
    <row r="528" ht="15.75" customHeight="1">
      <c r="P528" s="23"/>
      <c r="Q528" s="24"/>
    </row>
    <row r="529" ht="15.75" customHeight="1">
      <c r="P529" s="23"/>
      <c r="Q529" s="24"/>
    </row>
    <row r="530" ht="15.75" customHeight="1">
      <c r="P530" s="23"/>
      <c r="Q530" s="24"/>
    </row>
    <row r="531" ht="15.75" customHeight="1">
      <c r="P531" s="23"/>
      <c r="Q531" s="24"/>
    </row>
    <row r="532" ht="15.75" customHeight="1">
      <c r="P532" s="23"/>
      <c r="Q532" s="24"/>
    </row>
    <row r="533" ht="15.75" customHeight="1">
      <c r="P533" s="23"/>
      <c r="Q533" s="24"/>
    </row>
    <row r="534" ht="15.75" customHeight="1">
      <c r="P534" s="23"/>
      <c r="Q534" s="24"/>
    </row>
    <row r="535" ht="15.75" customHeight="1">
      <c r="P535" s="23"/>
      <c r="Q535" s="24"/>
    </row>
    <row r="536" ht="15.75" customHeight="1">
      <c r="P536" s="23"/>
      <c r="Q536" s="24"/>
    </row>
    <row r="537" ht="15.75" customHeight="1">
      <c r="P537" s="23"/>
      <c r="Q537" s="24"/>
    </row>
    <row r="538" ht="15.75" customHeight="1">
      <c r="P538" s="23"/>
      <c r="Q538" s="24"/>
    </row>
    <row r="539" ht="15.75" customHeight="1">
      <c r="P539" s="23"/>
      <c r="Q539" s="24"/>
    </row>
    <row r="540" ht="15.75" customHeight="1">
      <c r="P540" s="23"/>
      <c r="Q540" s="24"/>
    </row>
    <row r="541" ht="15.75" customHeight="1">
      <c r="P541" s="23"/>
      <c r="Q541" s="24"/>
    </row>
    <row r="542" ht="15.75" customHeight="1">
      <c r="P542" s="23"/>
      <c r="Q542" s="24"/>
    </row>
    <row r="543" ht="15.75" customHeight="1">
      <c r="P543" s="23"/>
      <c r="Q543" s="24"/>
    </row>
    <row r="544" ht="15.75" customHeight="1">
      <c r="P544" s="23"/>
      <c r="Q544" s="24"/>
    </row>
    <row r="545" ht="15.75" customHeight="1">
      <c r="P545" s="23"/>
      <c r="Q545" s="24"/>
    </row>
    <row r="546" ht="15.75" customHeight="1">
      <c r="P546" s="23"/>
      <c r="Q546" s="24"/>
    </row>
    <row r="547" ht="15.75" customHeight="1">
      <c r="P547" s="23"/>
      <c r="Q547" s="24"/>
    </row>
    <row r="548" ht="15.75" customHeight="1">
      <c r="P548" s="23"/>
      <c r="Q548" s="24"/>
    </row>
    <row r="549" ht="15.75" customHeight="1">
      <c r="P549" s="23"/>
      <c r="Q549" s="24"/>
    </row>
    <row r="550" ht="15.75" customHeight="1">
      <c r="P550" s="23"/>
      <c r="Q550" s="24"/>
    </row>
    <row r="551" ht="15.75" customHeight="1">
      <c r="P551" s="23"/>
      <c r="Q551" s="24"/>
    </row>
    <row r="552" ht="15.75" customHeight="1">
      <c r="P552" s="23"/>
      <c r="Q552" s="24"/>
    </row>
    <row r="553" ht="15.75" customHeight="1">
      <c r="P553" s="23"/>
      <c r="Q553" s="24"/>
    </row>
    <row r="554" ht="15.75" customHeight="1">
      <c r="P554" s="23"/>
      <c r="Q554" s="24"/>
    </row>
    <row r="555" ht="15.75" customHeight="1">
      <c r="P555" s="23"/>
      <c r="Q555" s="24"/>
    </row>
    <row r="556" ht="15.75" customHeight="1">
      <c r="P556" s="23"/>
      <c r="Q556" s="24"/>
    </row>
    <row r="557" ht="15.75" customHeight="1">
      <c r="P557" s="23"/>
      <c r="Q557" s="24"/>
    </row>
    <row r="558" ht="15.75" customHeight="1">
      <c r="P558" s="23"/>
      <c r="Q558" s="24"/>
    </row>
    <row r="559" ht="15.75" customHeight="1">
      <c r="P559" s="23"/>
      <c r="Q559" s="24"/>
    </row>
    <row r="560" ht="15.75" customHeight="1">
      <c r="P560" s="23"/>
      <c r="Q560" s="24"/>
    </row>
    <row r="561" ht="15.75" customHeight="1">
      <c r="P561" s="23"/>
      <c r="Q561" s="24"/>
    </row>
    <row r="562" ht="15.75" customHeight="1">
      <c r="P562" s="23"/>
      <c r="Q562" s="24"/>
    </row>
    <row r="563" ht="15.75" customHeight="1">
      <c r="P563" s="23"/>
      <c r="Q563" s="24"/>
    </row>
    <row r="564" ht="15.75" customHeight="1">
      <c r="P564" s="23"/>
      <c r="Q564" s="24"/>
    </row>
    <row r="565" ht="15.75" customHeight="1">
      <c r="P565" s="23"/>
      <c r="Q565" s="24"/>
    </row>
    <row r="566" ht="15.75" customHeight="1">
      <c r="P566" s="23"/>
      <c r="Q566" s="24"/>
    </row>
    <row r="567" ht="15.75" customHeight="1">
      <c r="P567" s="23"/>
      <c r="Q567" s="24"/>
    </row>
    <row r="568" ht="15.75" customHeight="1">
      <c r="P568" s="23"/>
      <c r="Q568" s="24"/>
    </row>
    <row r="569" ht="15.75" customHeight="1">
      <c r="P569" s="23"/>
      <c r="Q569" s="24"/>
    </row>
    <row r="570" ht="15.75" customHeight="1">
      <c r="P570" s="23"/>
      <c r="Q570" s="24"/>
    </row>
    <row r="571" ht="15.75" customHeight="1">
      <c r="P571" s="23"/>
      <c r="Q571" s="24"/>
    </row>
    <row r="572" ht="15.75" customHeight="1">
      <c r="P572" s="23"/>
      <c r="Q572" s="24"/>
    </row>
    <row r="573" ht="15.75" customHeight="1">
      <c r="P573" s="23"/>
      <c r="Q573" s="24"/>
    </row>
    <row r="574" ht="15.75" customHeight="1">
      <c r="P574" s="23"/>
      <c r="Q574" s="24"/>
    </row>
    <row r="575" ht="15.75" customHeight="1">
      <c r="P575" s="23"/>
      <c r="Q575" s="24"/>
    </row>
    <row r="576" ht="15.75" customHeight="1">
      <c r="P576" s="23"/>
      <c r="Q576" s="24"/>
    </row>
    <row r="577" ht="15.75" customHeight="1">
      <c r="P577" s="23"/>
      <c r="Q577" s="24"/>
    </row>
    <row r="578" ht="15.75" customHeight="1">
      <c r="P578" s="23"/>
      <c r="Q578" s="24"/>
    </row>
    <row r="579" ht="15.75" customHeight="1">
      <c r="P579" s="23"/>
      <c r="Q579" s="24"/>
    </row>
    <row r="580" ht="15.75" customHeight="1">
      <c r="P580" s="23"/>
      <c r="Q580" s="24"/>
    </row>
    <row r="581" ht="15.75" customHeight="1">
      <c r="P581" s="23"/>
      <c r="Q581" s="24"/>
    </row>
    <row r="582" ht="15.75" customHeight="1">
      <c r="P582" s="23"/>
      <c r="Q582" s="24"/>
    </row>
    <row r="583" ht="15.75" customHeight="1">
      <c r="P583" s="23"/>
      <c r="Q583" s="24"/>
    </row>
    <row r="584" ht="15.75" customHeight="1">
      <c r="P584" s="23"/>
      <c r="Q584" s="24"/>
    </row>
    <row r="585" ht="15.75" customHeight="1">
      <c r="P585" s="23"/>
      <c r="Q585" s="24"/>
    </row>
    <row r="586" ht="15.75" customHeight="1">
      <c r="P586" s="23"/>
      <c r="Q586" s="24"/>
    </row>
    <row r="587" ht="15.75" customHeight="1">
      <c r="P587" s="23"/>
      <c r="Q587" s="24"/>
    </row>
    <row r="588" ht="15.75" customHeight="1">
      <c r="P588" s="23"/>
      <c r="Q588" s="24"/>
    </row>
    <row r="589" ht="15.75" customHeight="1">
      <c r="P589" s="23"/>
      <c r="Q589" s="24"/>
    </row>
    <row r="590" ht="15.75" customHeight="1">
      <c r="P590" s="23"/>
      <c r="Q590" s="24"/>
    </row>
    <row r="591" ht="15.75" customHeight="1">
      <c r="P591" s="23"/>
      <c r="Q591" s="24"/>
    </row>
    <row r="592" ht="15.75" customHeight="1">
      <c r="P592" s="23"/>
      <c r="Q592" s="24"/>
    </row>
    <row r="593" ht="15.75" customHeight="1">
      <c r="P593" s="23"/>
      <c r="Q593" s="24"/>
    </row>
    <row r="594" ht="15.75" customHeight="1">
      <c r="P594" s="23"/>
      <c r="Q594" s="24"/>
    </row>
    <row r="595" ht="15.75" customHeight="1">
      <c r="P595" s="23"/>
      <c r="Q595" s="24"/>
    </row>
    <row r="596" ht="15.75" customHeight="1">
      <c r="P596" s="23"/>
      <c r="Q596" s="24"/>
    </row>
    <row r="597" ht="15.75" customHeight="1">
      <c r="P597" s="23"/>
      <c r="Q597" s="24"/>
    </row>
    <row r="598" ht="15.75" customHeight="1">
      <c r="P598" s="23"/>
      <c r="Q598" s="24"/>
    </row>
    <row r="599" ht="15.75" customHeight="1">
      <c r="P599" s="23"/>
      <c r="Q599" s="24"/>
    </row>
    <row r="600" ht="15.75" customHeight="1">
      <c r="P600" s="23"/>
      <c r="Q600" s="24"/>
    </row>
    <row r="601" ht="15.75" customHeight="1">
      <c r="P601" s="23"/>
      <c r="Q601" s="24"/>
    </row>
    <row r="602" ht="15.75" customHeight="1">
      <c r="P602" s="23"/>
      <c r="Q602" s="24"/>
    </row>
    <row r="603" ht="15.75" customHeight="1">
      <c r="P603" s="23"/>
      <c r="Q603" s="24"/>
    </row>
    <row r="604" ht="15.75" customHeight="1">
      <c r="P604" s="23"/>
      <c r="Q604" s="24"/>
    </row>
    <row r="605" ht="15.75" customHeight="1">
      <c r="P605" s="23"/>
      <c r="Q605" s="24"/>
    </row>
    <row r="606" ht="15.75" customHeight="1">
      <c r="P606" s="23"/>
      <c r="Q606" s="24"/>
    </row>
    <row r="607" ht="15.75" customHeight="1">
      <c r="P607" s="23"/>
      <c r="Q607" s="24"/>
    </row>
    <row r="608" ht="15.75" customHeight="1">
      <c r="P608" s="23"/>
      <c r="Q608" s="24"/>
    </row>
    <row r="609" ht="15.75" customHeight="1">
      <c r="P609" s="23"/>
      <c r="Q609" s="24"/>
    </row>
    <row r="610" ht="15.75" customHeight="1">
      <c r="P610" s="23"/>
      <c r="Q610" s="24"/>
    </row>
    <row r="611" ht="15.75" customHeight="1">
      <c r="P611" s="23"/>
      <c r="Q611" s="24"/>
    </row>
    <row r="612" ht="15.75" customHeight="1">
      <c r="P612" s="23"/>
      <c r="Q612" s="24"/>
    </row>
    <row r="613" ht="15.75" customHeight="1">
      <c r="P613" s="23"/>
      <c r="Q613" s="24"/>
    </row>
    <row r="614" ht="15.75" customHeight="1">
      <c r="P614" s="23"/>
      <c r="Q614" s="24"/>
    </row>
    <row r="615" ht="15.75" customHeight="1">
      <c r="P615" s="23"/>
      <c r="Q615" s="24"/>
    </row>
    <row r="616" ht="15.75" customHeight="1">
      <c r="P616" s="23"/>
      <c r="Q616" s="24"/>
    </row>
    <row r="617" ht="15.75" customHeight="1">
      <c r="P617" s="23"/>
      <c r="Q617" s="24"/>
    </row>
    <row r="618" ht="15.75" customHeight="1">
      <c r="P618" s="23"/>
      <c r="Q618" s="24"/>
    </row>
    <row r="619" ht="15.75" customHeight="1">
      <c r="P619" s="23"/>
      <c r="Q619" s="24"/>
    </row>
    <row r="620" ht="15.75" customHeight="1">
      <c r="P620" s="23"/>
      <c r="Q620" s="24"/>
    </row>
    <row r="621" ht="15.75" customHeight="1">
      <c r="P621" s="23"/>
      <c r="Q621" s="24"/>
    </row>
    <row r="622" ht="15.75" customHeight="1">
      <c r="P622" s="23"/>
      <c r="Q622" s="24"/>
    </row>
    <row r="623" ht="15.75" customHeight="1">
      <c r="P623" s="23"/>
      <c r="Q623" s="24"/>
    </row>
    <row r="624" ht="15.75" customHeight="1">
      <c r="P624" s="23"/>
      <c r="Q624" s="24"/>
    </row>
    <row r="625" ht="15.75" customHeight="1">
      <c r="P625" s="23"/>
      <c r="Q625" s="24"/>
    </row>
    <row r="626" ht="15.75" customHeight="1">
      <c r="P626" s="23"/>
      <c r="Q626" s="24"/>
    </row>
    <row r="627" ht="15.75" customHeight="1">
      <c r="P627" s="23"/>
      <c r="Q627" s="24"/>
    </row>
    <row r="628" ht="15.75" customHeight="1">
      <c r="P628" s="23"/>
      <c r="Q628" s="24"/>
    </row>
    <row r="629" ht="15.75" customHeight="1">
      <c r="P629" s="23"/>
      <c r="Q629" s="24"/>
    </row>
    <row r="630" ht="15.75" customHeight="1">
      <c r="P630" s="23"/>
      <c r="Q630" s="24"/>
    </row>
    <row r="631" ht="15.75" customHeight="1">
      <c r="P631" s="23"/>
      <c r="Q631" s="24"/>
    </row>
    <row r="632" ht="15.75" customHeight="1">
      <c r="P632" s="23"/>
      <c r="Q632" s="24"/>
    </row>
    <row r="633" ht="15.75" customHeight="1">
      <c r="P633" s="23"/>
      <c r="Q633" s="24"/>
    </row>
    <row r="634" ht="15.75" customHeight="1">
      <c r="P634" s="23"/>
      <c r="Q634" s="24"/>
    </row>
    <row r="635" ht="15.75" customHeight="1">
      <c r="P635" s="23"/>
      <c r="Q635" s="24"/>
    </row>
    <row r="636" ht="15.75" customHeight="1">
      <c r="P636" s="23"/>
      <c r="Q636" s="24"/>
    </row>
    <row r="637" ht="15.75" customHeight="1">
      <c r="P637" s="23"/>
      <c r="Q637" s="24"/>
    </row>
    <row r="638" ht="15.75" customHeight="1">
      <c r="P638" s="23"/>
      <c r="Q638" s="24"/>
    </row>
    <row r="639" ht="15.75" customHeight="1">
      <c r="P639" s="23"/>
      <c r="Q639" s="24"/>
    </row>
    <row r="640" ht="15.75" customHeight="1">
      <c r="P640" s="23"/>
      <c r="Q640" s="24"/>
    </row>
    <row r="641" ht="15.75" customHeight="1">
      <c r="P641" s="23"/>
      <c r="Q641" s="24"/>
    </row>
    <row r="642" ht="15.75" customHeight="1">
      <c r="P642" s="23"/>
      <c r="Q642" s="24"/>
    </row>
    <row r="643" ht="15.75" customHeight="1">
      <c r="P643" s="23"/>
      <c r="Q643" s="24"/>
    </row>
    <row r="644" ht="15.75" customHeight="1">
      <c r="P644" s="23"/>
      <c r="Q644" s="24"/>
    </row>
    <row r="645" ht="15.75" customHeight="1">
      <c r="P645" s="23"/>
      <c r="Q645" s="24"/>
    </row>
    <row r="646" ht="15.75" customHeight="1">
      <c r="P646" s="23"/>
      <c r="Q646" s="24"/>
    </row>
    <row r="647" ht="15.75" customHeight="1">
      <c r="P647" s="23"/>
      <c r="Q647" s="24"/>
    </row>
    <row r="648" ht="15.75" customHeight="1">
      <c r="P648" s="23"/>
      <c r="Q648" s="24"/>
    </row>
    <row r="649" ht="15.75" customHeight="1">
      <c r="P649" s="23"/>
      <c r="Q649" s="24"/>
    </row>
    <row r="650" ht="15.75" customHeight="1">
      <c r="P650" s="23"/>
      <c r="Q650" s="24"/>
    </row>
    <row r="651" ht="15.75" customHeight="1">
      <c r="P651" s="23"/>
      <c r="Q651" s="24"/>
    </row>
    <row r="652" ht="15.75" customHeight="1">
      <c r="P652" s="23"/>
      <c r="Q652" s="24"/>
    </row>
    <row r="653" ht="15.75" customHeight="1">
      <c r="P653" s="23"/>
      <c r="Q653" s="24"/>
    </row>
    <row r="654" ht="15.75" customHeight="1">
      <c r="P654" s="23"/>
      <c r="Q654" s="24"/>
    </row>
    <row r="655" ht="15.75" customHeight="1">
      <c r="P655" s="23"/>
      <c r="Q655" s="24"/>
    </row>
    <row r="656" ht="15.75" customHeight="1">
      <c r="P656" s="23"/>
      <c r="Q656" s="24"/>
    </row>
    <row r="657" ht="15.75" customHeight="1">
      <c r="P657" s="23"/>
      <c r="Q657" s="24"/>
    </row>
    <row r="658" ht="15.75" customHeight="1">
      <c r="P658" s="23"/>
      <c r="Q658" s="24"/>
    </row>
    <row r="659" ht="15.75" customHeight="1">
      <c r="P659" s="23"/>
      <c r="Q659" s="24"/>
    </row>
    <row r="660" ht="15.75" customHeight="1">
      <c r="P660" s="23"/>
      <c r="Q660" s="24"/>
    </row>
    <row r="661" ht="15.75" customHeight="1">
      <c r="P661" s="23"/>
      <c r="Q661" s="24"/>
    </row>
    <row r="662" ht="15.75" customHeight="1">
      <c r="P662" s="23"/>
      <c r="Q662" s="24"/>
    </row>
    <row r="663" ht="15.75" customHeight="1">
      <c r="P663" s="23"/>
      <c r="Q663" s="24"/>
    </row>
    <row r="664" ht="15.75" customHeight="1">
      <c r="P664" s="23"/>
      <c r="Q664" s="24"/>
    </row>
    <row r="665" ht="15.75" customHeight="1">
      <c r="P665" s="23"/>
      <c r="Q665" s="24"/>
    </row>
    <row r="666" ht="15.75" customHeight="1">
      <c r="P666" s="23"/>
      <c r="Q666" s="24"/>
    </row>
    <row r="667" ht="15.75" customHeight="1">
      <c r="P667" s="23"/>
      <c r="Q667" s="24"/>
    </row>
    <row r="668" ht="15.75" customHeight="1">
      <c r="P668" s="23"/>
      <c r="Q668" s="24"/>
    </row>
    <row r="669" ht="15.75" customHeight="1">
      <c r="P669" s="23"/>
      <c r="Q669" s="24"/>
    </row>
    <row r="670" ht="15.75" customHeight="1">
      <c r="P670" s="23"/>
      <c r="Q670" s="24"/>
    </row>
    <row r="671" ht="15.75" customHeight="1">
      <c r="P671" s="23"/>
      <c r="Q671" s="24"/>
    </row>
    <row r="672" ht="15.75" customHeight="1">
      <c r="P672" s="23"/>
      <c r="Q672" s="24"/>
    </row>
    <row r="673" ht="15.75" customHeight="1">
      <c r="P673" s="23"/>
      <c r="Q673" s="24"/>
    </row>
    <row r="674" ht="15.75" customHeight="1">
      <c r="P674" s="23"/>
      <c r="Q674" s="24"/>
    </row>
    <row r="675" ht="15.75" customHeight="1">
      <c r="P675" s="23"/>
      <c r="Q675" s="24"/>
    </row>
    <row r="676" ht="15.75" customHeight="1">
      <c r="P676" s="23"/>
      <c r="Q676" s="24"/>
    </row>
    <row r="677" ht="15.75" customHeight="1">
      <c r="P677" s="23"/>
      <c r="Q677" s="24"/>
    </row>
    <row r="678" ht="15.75" customHeight="1">
      <c r="P678" s="23"/>
      <c r="Q678" s="24"/>
    </row>
    <row r="679" ht="15.75" customHeight="1">
      <c r="P679" s="23"/>
      <c r="Q679" s="24"/>
    </row>
    <row r="680" ht="15.75" customHeight="1">
      <c r="P680" s="23"/>
      <c r="Q680" s="24"/>
    </row>
    <row r="681" ht="15.75" customHeight="1">
      <c r="P681" s="23"/>
      <c r="Q681" s="24"/>
    </row>
    <row r="682" ht="15.75" customHeight="1">
      <c r="P682" s="23"/>
      <c r="Q682" s="24"/>
    </row>
    <row r="683" ht="15.75" customHeight="1">
      <c r="P683" s="23"/>
      <c r="Q683" s="24"/>
    </row>
    <row r="684" ht="15.75" customHeight="1">
      <c r="P684" s="23"/>
      <c r="Q684" s="24"/>
    </row>
    <row r="685" ht="15.75" customHeight="1">
      <c r="P685" s="23"/>
      <c r="Q685" s="24"/>
    </row>
    <row r="686" ht="15.75" customHeight="1">
      <c r="P686" s="23"/>
      <c r="Q686" s="24"/>
    </row>
    <row r="687" ht="15.75" customHeight="1">
      <c r="P687" s="23"/>
      <c r="Q687" s="24"/>
    </row>
    <row r="688" ht="15.75" customHeight="1">
      <c r="P688" s="23"/>
      <c r="Q688" s="24"/>
    </row>
    <row r="689" ht="15.75" customHeight="1">
      <c r="P689" s="23"/>
      <c r="Q689" s="24"/>
    </row>
    <row r="690" ht="15.75" customHeight="1">
      <c r="P690" s="23"/>
      <c r="Q690" s="24"/>
    </row>
    <row r="691" ht="15.75" customHeight="1">
      <c r="P691" s="23"/>
      <c r="Q691" s="24"/>
    </row>
    <row r="692" ht="15.75" customHeight="1">
      <c r="P692" s="23"/>
      <c r="Q692" s="24"/>
    </row>
    <row r="693" ht="15.75" customHeight="1">
      <c r="P693" s="23"/>
      <c r="Q693" s="24"/>
    </row>
    <row r="694" ht="15.75" customHeight="1">
      <c r="P694" s="23"/>
      <c r="Q694" s="24"/>
    </row>
    <row r="695" ht="15.75" customHeight="1">
      <c r="P695" s="23"/>
      <c r="Q695" s="24"/>
    </row>
    <row r="696" ht="15.75" customHeight="1">
      <c r="P696" s="23"/>
      <c r="Q696" s="24"/>
    </row>
    <row r="697" ht="15.75" customHeight="1">
      <c r="P697" s="23"/>
      <c r="Q697" s="24"/>
    </row>
    <row r="698" ht="15.75" customHeight="1">
      <c r="P698" s="23"/>
      <c r="Q698" s="24"/>
    </row>
    <row r="699" ht="15.75" customHeight="1">
      <c r="P699" s="23"/>
      <c r="Q699" s="24"/>
    </row>
    <row r="700" ht="15.75" customHeight="1">
      <c r="P700" s="23"/>
      <c r="Q700" s="24"/>
    </row>
    <row r="701" ht="15.75" customHeight="1">
      <c r="P701" s="23"/>
      <c r="Q701" s="24"/>
    </row>
    <row r="702" ht="15.75" customHeight="1">
      <c r="P702" s="23"/>
      <c r="Q702" s="24"/>
    </row>
    <row r="703" ht="15.75" customHeight="1">
      <c r="P703" s="23"/>
      <c r="Q703" s="24"/>
    </row>
    <row r="704" ht="15.75" customHeight="1">
      <c r="P704" s="23"/>
      <c r="Q704" s="24"/>
    </row>
    <row r="705" ht="15.75" customHeight="1">
      <c r="P705" s="23"/>
      <c r="Q705" s="24"/>
    </row>
    <row r="706" ht="15.75" customHeight="1">
      <c r="P706" s="23"/>
      <c r="Q706" s="24"/>
    </row>
    <row r="707" ht="15.75" customHeight="1">
      <c r="P707" s="23"/>
      <c r="Q707" s="24"/>
    </row>
    <row r="708" ht="15.75" customHeight="1">
      <c r="P708" s="23"/>
      <c r="Q708" s="24"/>
    </row>
    <row r="709" ht="15.75" customHeight="1">
      <c r="P709" s="23"/>
      <c r="Q709" s="24"/>
    </row>
    <row r="710" ht="15.75" customHeight="1">
      <c r="P710" s="23"/>
      <c r="Q710" s="24"/>
    </row>
    <row r="711" ht="15.75" customHeight="1">
      <c r="P711" s="23"/>
      <c r="Q711" s="24"/>
    </row>
    <row r="712" ht="15.75" customHeight="1">
      <c r="P712" s="23"/>
      <c r="Q712" s="24"/>
    </row>
    <row r="713" ht="15.75" customHeight="1">
      <c r="P713" s="23"/>
      <c r="Q713" s="24"/>
    </row>
    <row r="714" ht="15.75" customHeight="1">
      <c r="P714" s="23"/>
      <c r="Q714" s="24"/>
    </row>
    <row r="715" ht="15.75" customHeight="1">
      <c r="P715" s="23"/>
      <c r="Q715" s="24"/>
    </row>
    <row r="716" ht="15.75" customHeight="1">
      <c r="P716" s="23"/>
      <c r="Q716" s="24"/>
    </row>
    <row r="717" ht="15.75" customHeight="1">
      <c r="P717" s="23"/>
      <c r="Q717" s="24"/>
    </row>
    <row r="718" ht="15.75" customHeight="1">
      <c r="P718" s="23"/>
      <c r="Q718" s="24"/>
    </row>
    <row r="719" ht="15.75" customHeight="1">
      <c r="P719" s="23"/>
      <c r="Q719" s="24"/>
    </row>
    <row r="720" ht="15.75" customHeight="1">
      <c r="P720" s="23"/>
      <c r="Q720" s="24"/>
    </row>
    <row r="721" ht="15.75" customHeight="1">
      <c r="P721" s="23"/>
      <c r="Q721" s="24"/>
    </row>
    <row r="722" ht="15.75" customHeight="1">
      <c r="P722" s="23"/>
      <c r="Q722" s="24"/>
    </row>
    <row r="723" ht="15.75" customHeight="1">
      <c r="P723" s="23"/>
      <c r="Q723" s="24"/>
    </row>
    <row r="724" ht="15.75" customHeight="1">
      <c r="P724" s="23"/>
      <c r="Q724" s="24"/>
    </row>
    <row r="725" ht="15.75" customHeight="1">
      <c r="P725" s="23"/>
      <c r="Q725" s="24"/>
    </row>
    <row r="726" ht="15.75" customHeight="1">
      <c r="P726" s="23"/>
      <c r="Q726" s="24"/>
    </row>
    <row r="727" ht="15.75" customHeight="1">
      <c r="P727" s="23"/>
      <c r="Q727" s="24"/>
    </row>
    <row r="728" ht="15.75" customHeight="1">
      <c r="P728" s="23"/>
      <c r="Q728" s="24"/>
    </row>
    <row r="729" ht="15.75" customHeight="1">
      <c r="P729" s="23"/>
      <c r="Q729" s="24"/>
    </row>
    <row r="730" ht="15.75" customHeight="1">
      <c r="P730" s="23"/>
      <c r="Q730" s="24"/>
    </row>
    <row r="731" ht="15.75" customHeight="1">
      <c r="P731" s="23"/>
      <c r="Q731" s="24"/>
    </row>
    <row r="732" ht="15.75" customHeight="1">
      <c r="P732" s="23"/>
      <c r="Q732" s="24"/>
    </row>
    <row r="733" ht="15.75" customHeight="1">
      <c r="P733" s="23"/>
      <c r="Q733" s="24"/>
    </row>
    <row r="734" ht="15.75" customHeight="1">
      <c r="P734" s="23"/>
      <c r="Q734" s="24"/>
    </row>
    <row r="735" ht="15.75" customHeight="1">
      <c r="P735" s="23"/>
      <c r="Q735" s="24"/>
    </row>
    <row r="736" ht="15.75" customHeight="1">
      <c r="P736" s="23"/>
      <c r="Q736" s="24"/>
    </row>
    <row r="737" ht="15.75" customHeight="1">
      <c r="P737" s="23"/>
      <c r="Q737" s="24"/>
    </row>
    <row r="738" ht="15.75" customHeight="1">
      <c r="P738" s="23"/>
      <c r="Q738" s="24"/>
    </row>
    <row r="739" ht="15.75" customHeight="1">
      <c r="P739" s="23"/>
      <c r="Q739" s="24"/>
    </row>
    <row r="740" ht="15.75" customHeight="1">
      <c r="P740" s="23"/>
      <c r="Q740" s="24"/>
    </row>
    <row r="741" ht="15.75" customHeight="1">
      <c r="P741" s="23"/>
      <c r="Q741" s="24"/>
    </row>
    <row r="742" ht="15.75" customHeight="1">
      <c r="P742" s="23"/>
      <c r="Q742" s="24"/>
    </row>
    <row r="743" ht="15.75" customHeight="1">
      <c r="P743" s="23"/>
      <c r="Q743" s="24"/>
    </row>
    <row r="744" ht="15.75" customHeight="1">
      <c r="P744" s="23"/>
      <c r="Q744" s="24"/>
    </row>
    <row r="745" ht="15.75" customHeight="1">
      <c r="P745" s="23"/>
      <c r="Q745" s="24"/>
    </row>
    <row r="746" ht="15.75" customHeight="1">
      <c r="P746" s="23"/>
      <c r="Q746" s="24"/>
    </row>
    <row r="747" ht="15.75" customHeight="1">
      <c r="P747" s="23"/>
      <c r="Q747" s="24"/>
    </row>
    <row r="748" ht="15.75" customHeight="1">
      <c r="P748" s="23"/>
      <c r="Q748" s="24"/>
    </row>
    <row r="749" ht="15.75" customHeight="1">
      <c r="P749" s="23"/>
      <c r="Q749" s="24"/>
    </row>
    <row r="750" ht="15.75" customHeight="1">
      <c r="P750" s="23"/>
      <c r="Q750" s="24"/>
    </row>
    <row r="751" ht="15.75" customHeight="1">
      <c r="P751" s="23"/>
      <c r="Q751" s="24"/>
    </row>
    <row r="752" ht="15.75" customHeight="1">
      <c r="P752" s="23"/>
      <c r="Q752" s="24"/>
    </row>
    <row r="753" ht="15.75" customHeight="1">
      <c r="P753" s="23"/>
      <c r="Q753" s="24"/>
    </row>
    <row r="754" ht="15.75" customHeight="1">
      <c r="P754" s="23"/>
      <c r="Q754" s="24"/>
    </row>
    <row r="755" ht="15.75" customHeight="1">
      <c r="P755" s="23"/>
      <c r="Q755" s="24"/>
    </row>
    <row r="756" ht="15.75" customHeight="1">
      <c r="P756" s="23"/>
      <c r="Q756" s="24"/>
    </row>
    <row r="757" ht="15.75" customHeight="1">
      <c r="P757" s="23"/>
      <c r="Q757" s="24"/>
    </row>
    <row r="758" ht="15.75" customHeight="1">
      <c r="P758" s="23"/>
      <c r="Q758" s="24"/>
    </row>
    <row r="759" ht="15.75" customHeight="1">
      <c r="P759" s="23"/>
      <c r="Q759" s="24"/>
    </row>
    <row r="760" ht="15.75" customHeight="1">
      <c r="P760" s="23"/>
      <c r="Q760" s="24"/>
    </row>
    <row r="761" ht="15.75" customHeight="1">
      <c r="P761" s="23"/>
      <c r="Q761" s="24"/>
    </row>
    <row r="762" ht="15.75" customHeight="1">
      <c r="P762" s="23"/>
      <c r="Q762" s="24"/>
    </row>
    <row r="763" ht="15.75" customHeight="1">
      <c r="P763" s="23"/>
      <c r="Q763" s="24"/>
    </row>
    <row r="764" ht="15.75" customHeight="1">
      <c r="P764" s="23"/>
      <c r="Q764" s="24"/>
    </row>
    <row r="765" ht="15.75" customHeight="1">
      <c r="P765" s="23"/>
      <c r="Q765" s="24"/>
    </row>
    <row r="766" ht="15.75" customHeight="1">
      <c r="P766" s="23"/>
      <c r="Q766" s="24"/>
    </row>
    <row r="767" ht="15.75" customHeight="1">
      <c r="P767" s="23"/>
      <c r="Q767" s="24"/>
    </row>
    <row r="768" ht="15.75" customHeight="1">
      <c r="P768" s="23"/>
      <c r="Q768" s="24"/>
    </row>
    <row r="769" ht="15.75" customHeight="1">
      <c r="P769" s="23"/>
      <c r="Q769" s="24"/>
    </row>
    <row r="770" ht="15.75" customHeight="1">
      <c r="P770" s="23"/>
      <c r="Q770" s="24"/>
    </row>
    <row r="771" ht="15.75" customHeight="1">
      <c r="P771" s="23"/>
      <c r="Q771" s="24"/>
    </row>
    <row r="772" ht="15.75" customHeight="1">
      <c r="P772" s="23"/>
      <c r="Q772" s="24"/>
    </row>
    <row r="773" ht="15.75" customHeight="1">
      <c r="P773" s="23"/>
      <c r="Q773" s="24"/>
    </row>
    <row r="774" ht="15.75" customHeight="1">
      <c r="P774" s="23"/>
      <c r="Q774" s="24"/>
    </row>
    <row r="775" ht="15.75" customHeight="1">
      <c r="P775" s="23"/>
      <c r="Q775" s="24"/>
    </row>
    <row r="776" ht="15.75" customHeight="1">
      <c r="P776" s="23"/>
      <c r="Q776" s="24"/>
    </row>
    <row r="777" ht="15.75" customHeight="1">
      <c r="P777" s="23"/>
      <c r="Q777" s="24"/>
    </row>
    <row r="778" ht="15.75" customHeight="1">
      <c r="P778" s="23"/>
      <c r="Q778" s="24"/>
    </row>
    <row r="779" ht="15.75" customHeight="1">
      <c r="P779" s="23"/>
      <c r="Q779" s="24"/>
    </row>
    <row r="780" ht="15.75" customHeight="1">
      <c r="P780" s="23"/>
      <c r="Q780" s="24"/>
    </row>
    <row r="781" ht="15.75" customHeight="1">
      <c r="P781" s="23"/>
      <c r="Q781" s="24"/>
    </row>
    <row r="782" ht="15.75" customHeight="1">
      <c r="P782" s="23"/>
      <c r="Q782" s="24"/>
    </row>
    <row r="783" ht="15.75" customHeight="1">
      <c r="P783" s="23"/>
      <c r="Q783" s="24"/>
    </row>
    <row r="784" ht="15.75" customHeight="1">
      <c r="P784" s="23"/>
      <c r="Q784" s="24"/>
    </row>
    <row r="785" ht="15.75" customHeight="1">
      <c r="P785" s="23"/>
      <c r="Q785" s="24"/>
    </row>
    <row r="786" ht="15.75" customHeight="1">
      <c r="P786" s="23"/>
      <c r="Q786" s="24"/>
    </row>
    <row r="787" ht="15.75" customHeight="1">
      <c r="P787" s="23"/>
      <c r="Q787" s="24"/>
    </row>
    <row r="788" ht="15.75" customHeight="1">
      <c r="P788" s="23"/>
      <c r="Q788" s="24"/>
    </row>
    <row r="789" ht="15.75" customHeight="1">
      <c r="P789" s="23"/>
      <c r="Q789" s="24"/>
    </row>
    <row r="790" ht="15.75" customHeight="1">
      <c r="P790" s="23"/>
      <c r="Q790" s="24"/>
    </row>
    <row r="791" ht="15.75" customHeight="1">
      <c r="P791" s="23"/>
      <c r="Q791" s="24"/>
    </row>
    <row r="792" ht="15.75" customHeight="1">
      <c r="P792" s="23"/>
      <c r="Q792" s="24"/>
    </row>
    <row r="793" ht="15.75" customHeight="1">
      <c r="P793" s="23"/>
      <c r="Q793" s="24"/>
    </row>
    <row r="794" ht="15.75" customHeight="1">
      <c r="P794" s="23"/>
      <c r="Q794" s="24"/>
    </row>
    <row r="795" ht="15.75" customHeight="1">
      <c r="P795" s="23"/>
      <c r="Q795" s="24"/>
    </row>
    <row r="796" ht="15.75" customHeight="1">
      <c r="P796" s="23"/>
      <c r="Q796" s="24"/>
    </row>
    <row r="797" ht="15.75" customHeight="1">
      <c r="P797" s="23"/>
      <c r="Q797" s="24"/>
    </row>
    <row r="798" ht="15.75" customHeight="1">
      <c r="P798" s="23"/>
      <c r="Q798" s="24"/>
    </row>
    <row r="799" ht="15.75" customHeight="1">
      <c r="P799" s="23"/>
      <c r="Q799" s="24"/>
    </row>
    <row r="800" ht="15.75" customHeight="1">
      <c r="P800" s="23"/>
      <c r="Q800" s="24"/>
    </row>
    <row r="801" ht="15.75" customHeight="1">
      <c r="P801" s="23"/>
      <c r="Q801" s="24"/>
    </row>
    <row r="802" ht="15.75" customHeight="1">
      <c r="P802" s="23"/>
      <c r="Q802" s="24"/>
    </row>
    <row r="803" ht="15.75" customHeight="1">
      <c r="P803" s="23"/>
      <c r="Q803" s="24"/>
    </row>
    <row r="804" ht="15.75" customHeight="1">
      <c r="P804" s="23"/>
      <c r="Q804" s="24"/>
    </row>
    <row r="805" ht="15.75" customHeight="1">
      <c r="P805" s="23"/>
      <c r="Q805" s="24"/>
    </row>
    <row r="806" ht="15.75" customHeight="1">
      <c r="P806" s="23"/>
      <c r="Q806" s="24"/>
    </row>
    <row r="807" ht="15.75" customHeight="1">
      <c r="P807" s="23"/>
      <c r="Q807" s="24"/>
    </row>
    <row r="808" ht="15.75" customHeight="1">
      <c r="P808" s="23"/>
      <c r="Q808" s="24"/>
    </row>
    <row r="809" ht="15.75" customHeight="1">
      <c r="P809" s="23"/>
      <c r="Q809" s="24"/>
    </row>
    <row r="810" ht="15.75" customHeight="1">
      <c r="P810" s="23"/>
      <c r="Q810" s="24"/>
    </row>
    <row r="811" ht="15.75" customHeight="1">
      <c r="P811" s="23"/>
      <c r="Q811" s="24"/>
    </row>
    <row r="812" ht="15.75" customHeight="1">
      <c r="P812" s="23"/>
      <c r="Q812" s="24"/>
    </row>
    <row r="813" ht="15.75" customHeight="1">
      <c r="P813" s="23"/>
      <c r="Q813" s="24"/>
    </row>
    <row r="814" ht="15.75" customHeight="1">
      <c r="P814" s="23"/>
      <c r="Q814" s="24"/>
    </row>
    <row r="815" ht="15.75" customHeight="1">
      <c r="P815" s="23"/>
      <c r="Q815" s="24"/>
    </row>
    <row r="816" ht="15.75" customHeight="1">
      <c r="P816" s="23"/>
      <c r="Q816" s="24"/>
    </row>
    <row r="817" ht="15.75" customHeight="1">
      <c r="P817" s="23"/>
      <c r="Q817" s="24"/>
    </row>
    <row r="818" ht="15.75" customHeight="1">
      <c r="P818" s="23"/>
      <c r="Q818" s="24"/>
    </row>
    <row r="819" ht="15.75" customHeight="1">
      <c r="P819" s="23"/>
      <c r="Q819" s="24"/>
    </row>
    <row r="820" ht="15.75" customHeight="1">
      <c r="P820" s="23"/>
      <c r="Q820" s="24"/>
    </row>
    <row r="821" ht="15.75" customHeight="1">
      <c r="P821" s="23"/>
      <c r="Q821" s="24"/>
    </row>
    <row r="822" ht="15.75" customHeight="1">
      <c r="P822" s="23"/>
      <c r="Q822" s="24"/>
    </row>
    <row r="823" ht="15.75" customHeight="1">
      <c r="P823" s="23"/>
      <c r="Q823" s="24"/>
    </row>
    <row r="824" ht="15.75" customHeight="1">
      <c r="P824" s="23"/>
      <c r="Q824" s="24"/>
    </row>
    <row r="825" ht="15.75" customHeight="1">
      <c r="P825" s="23"/>
      <c r="Q825" s="24"/>
    </row>
    <row r="826" ht="15.75" customHeight="1">
      <c r="P826" s="23"/>
      <c r="Q826" s="24"/>
    </row>
    <row r="827" ht="15.75" customHeight="1">
      <c r="P827" s="23"/>
      <c r="Q827" s="24"/>
    </row>
    <row r="828" ht="15.75" customHeight="1">
      <c r="P828" s="23"/>
      <c r="Q828" s="24"/>
    </row>
    <row r="829" ht="15.75" customHeight="1">
      <c r="P829" s="23"/>
      <c r="Q829" s="24"/>
    </row>
    <row r="830" ht="15.75" customHeight="1">
      <c r="P830" s="23"/>
      <c r="Q830" s="24"/>
    </row>
    <row r="831" ht="15.75" customHeight="1">
      <c r="P831" s="23"/>
      <c r="Q831" s="24"/>
    </row>
    <row r="832" ht="15.75" customHeight="1">
      <c r="P832" s="23"/>
      <c r="Q832" s="24"/>
    </row>
    <row r="833" ht="15.75" customHeight="1">
      <c r="P833" s="23"/>
      <c r="Q833" s="24"/>
    </row>
    <row r="834" ht="15.75" customHeight="1">
      <c r="P834" s="23"/>
      <c r="Q834" s="24"/>
    </row>
    <row r="835" ht="15.75" customHeight="1">
      <c r="P835" s="23"/>
      <c r="Q835" s="24"/>
    </row>
    <row r="836" ht="15.75" customHeight="1">
      <c r="P836" s="23"/>
      <c r="Q836" s="24"/>
    </row>
    <row r="837" ht="15.75" customHeight="1">
      <c r="P837" s="23"/>
      <c r="Q837" s="24"/>
    </row>
    <row r="838" ht="15.75" customHeight="1">
      <c r="P838" s="23"/>
      <c r="Q838" s="24"/>
    </row>
    <row r="839" ht="15.75" customHeight="1">
      <c r="P839" s="23"/>
      <c r="Q839" s="24"/>
    </row>
    <row r="840" ht="15.75" customHeight="1">
      <c r="P840" s="23"/>
      <c r="Q840" s="24"/>
    </row>
    <row r="841" ht="15.75" customHeight="1">
      <c r="P841" s="23"/>
      <c r="Q841" s="24"/>
    </row>
    <row r="842" ht="15.75" customHeight="1">
      <c r="P842" s="23"/>
      <c r="Q842" s="24"/>
    </row>
    <row r="843" ht="15.75" customHeight="1">
      <c r="P843" s="23"/>
      <c r="Q843" s="24"/>
    </row>
    <row r="844" ht="15.75" customHeight="1">
      <c r="P844" s="23"/>
      <c r="Q844" s="24"/>
    </row>
    <row r="845" ht="15.75" customHeight="1">
      <c r="P845" s="23"/>
      <c r="Q845" s="24"/>
    </row>
    <row r="846" ht="15.75" customHeight="1">
      <c r="P846" s="23"/>
      <c r="Q846" s="24"/>
    </row>
    <row r="847" ht="15.75" customHeight="1">
      <c r="P847" s="23"/>
      <c r="Q847" s="24"/>
    </row>
    <row r="848" ht="15.75" customHeight="1">
      <c r="P848" s="23"/>
      <c r="Q848" s="24"/>
    </row>
    <row r="849" ht="15.75" customHeight="1">
      <c r="P849" s="23"/>
      <c r="Q849" s="24"/>
    </row>
    <row r="850" ht="15.75" customHeight="1">
      <c r="P850" s="23"/>
      <c r="Q850" s="24"/>
    </row>
    <row r="851" ht="15.75" customHeight="1">
      <c r="P851" s="23"/>
      <c r="Q851" s="24"/>
    </row>
    <row r="852" ht="15.75" customHeight="1">
      <c r="P852" s="23"/>
      <c r="Q852" s="24"/>
    </row>
    <row r="853" ht="15.75" customHeight="1">
      <c r="P853" s="23"/>
      <c r="Q853" s="24"/>
    </row>
    <row r="854" ht="15.75" customHeight="1">
      <c r="P854" s="23"/>
      <c r="Q854" s="24"/>
    </row>
    <row r="855" ht="15.75" customHeight="1">
      <c r="P855" s="23"/>
      <c r="Q855" s="24"/>
    </row>
    <row r="856" ht="15.75" customHeight="1">
      <c r="P856" s="23"/>
      <c r="Q856" s="24"/>
    </row>
    <row r="857" ht="15.75" customHeight="1">
      <c r="P857" s="23"/>
      <c r="Q857" s="24"/>
    </row>
    <row r="858" ht="15.75" customHeight="1">
      <c r="P858" s="23"/>
      <c r="Q858" s="24"/>
    </row>
    <row r="859" ht="15.75" customHeight="1">
      <c r="P859" s="23"/>
      <c r="Q859" s="24"/>
    </row>
    <row r="860" ht="15.75" customHeight="1">
      <c r="P860" s="23"/>
      <c r="Q860" s="24"/>
    </row>
    <row r="861" ht="15.75" customHeight="1">
      <c r="P861" s="23"/>
      <c r="Q861" s="24"/>
    </row>
    <row r="862" ht="15.75" customHeight="1">
      <c r="P862" s="23"/>
      <c r="Q862" s="24"/>
    </row>
    <row r="863" ht="15.75" customHeight="1">
      <c r="P863" s="23"/>
      <c r="Q863" s="24"/>
    </row>
    <row r="864" ht="15.75" customHeight="1">
      <c r="P864" s="23"/>
      <c r="Q864" s="24"/>
    </row>
    <row r="865" ht="15.75" customHeight="1">
      <c r="P865" s="23"/>
      <c r="Q865" s="24"/>
    </row>
    <row r="866" ht="15.75" customHeight="1">
      <c r="P866" s="23"/>
      <c r="Q866" s="24"/>
    </row>
    <row r="867" ht="15.75" customHeight="1">
      <c r="P867" s="23"/>
      <c r="Q867" s="24"/>
    </row>
    <row r="868" ht="15.75" customHeight="1">
      <c r="P868" s="23"/>
      <c r="Q868" s="24"/>
    </row>
    <row r="869" ht="15.75" customHeight="1">
      <c r="P869" s="23"/>
      <c r="Q869" s="24"/>
    </row>
    <row r="870" ht="15.75" customHeight="1">
      <c r="P870" s="23"/>
      <c r="Q870" s="24"/>
    </row>
    <row r="871" ht="15.75" customHeight="1">
      <c r="P871" s="23"/>
      <c r="Q871" s="24"/>
    </row>
    <row r="872" ht="15.75" customHeight="1">
      <c r="P872" s="23"/>
      <c r="Q872" s="24"/>
    </row>
    <row r="873" ht="15.75" customHeight="1">
      <c r="P873" s="23"/>
      <c r="Q873" s="24"/>
    </row>
    <row r="874" ht="15.75" customHeight="1">
      <c r="P874" s="23"/>
      <c r="Q874" s="24"/>
    </row>
    <row r="875" ht="15.75" customHeight="1">
      <c r="P875" s="23"/>
      <c r="Q875" s="24"/>
    </row>
    <row r="876" ht="15.75" customHeight="1">
      <c r="P876" s="23"/>
      <c r="Q876" s="24"/>
    </row>
    <row r="877" ht="15.75" customHeight="1">
      <c r="P877" s="23"/>
      <c r="Q877" s="24"/>
    </row>
    <row r="878" ht="15.75" customHeight="1">
      <c r="P878" s="23"/>
      <c r="Q878" s="24"/>
    </row>
    <row r="879" ht="15.75" customHeight="1">
      <c r="P879" s="23"/>
      <c r="Q879" s="24"/>
    </row>
    <row r="880" ht="15.75" customHeight="1">
      <c r="P880" s="23"/>
      <c r="Q880" s="24"/>
    </row>
    <row r="881" ht="15.75" customHeight="1">
      <c r="P881" s="23"/>
      <c r="Q881" s="24"/>
    </row>
    <row r="882" ht="15.75" customHeight="1">
      <c r="P882" s="23"/>
      <c r="Q882" s="24"/>
    </row>
    <row r="883" ht="15.75" customHeight="1">
      <c r="P883" s="23"/>
      <c r="Q883" s="24"/>
    </row>
    <row r="884" ht="15.75" customHeight="1">
      <c r="P884" s="23"/>
      <c r="Q884" s="24"/>
    </row>
    <row r="885" ht="15.75" customHeight="1">
      <c r="P885" s="23"/>
      <c r="Q885" s="24"/>
    </row>
    <row r="886" ht="15.75" customHeight="1">
      <c r="P886" s="23"/>
      <c r="Q886" s="24"/>
    </row>
    <row r="887" ht="15.75" customHeight="1">
      <c r="P887" s="23"/>
      <c r="Q887" s="24"/>
    </row>
    <row r="888" ht="15.75" customHeight="1">
      <c r="P888" s="23"/>
      <c r="Q888" s="24"/>
    </row>
    <row r="889" ht="15.75" customHeight="1">
      <c r="P889" s="23"/>
      <c r="Q889" s="24"/>
    </row>
    <row r="890" ht="15.75" customHeight="1">
      <c r="P890" s="23"/>
      <c r="Q890" s="24"/>
    </row>
    <row r="891" ht="15.75" customHeight="1">
      <c r="P891" s="23"/>
      <c r="Q891" s="24"/>
    </row>
    <row r="892" ht="15.75" customHeight="1">
      <c r="P892" s="23"/>
      <c r="Q892" s="24"/>
    </row>
    <row r="893" ht="15.75" customHeight="1">
      <c r="P893" s="23"/>
      <c r="Q893" s="24"/>
    </row>
    <row r="894" ht="15.75" customHeight="1">
      <c r="P894" s="23"/>
      <c r="Q894" s="24"/>
    </row>
    <row r="895" ht="15.75" customHeight="1">
      <c r="P895" s="23"/>
      <c r="Q895" s="24"/>
    </row>
    <row r="896" ht="15.75" customHeight="1">
      <c r="P896" s="23"/>
      <c r="Q896" s="24"/>
    </row>
    <row r="897" ht="15.75" customHeight="1">
      <c r="P897" s="23"/>
      <c r="Q897" s="24"/>
    </row>
    <row r="898" ht="15.75" customHeight="1">
      <c r="P898" s="23"/>
      <c r="Q898" s="24"/>
    </row>
    <row r="899" ht="15.75" customHeight="1">
      <c r="P899" s="23"/>
      <c r="Q899" s="24"/>
    </row>
    <row r="900" ht="15.75" customHeight="1">
      <c r="P900" s="23"/>
      <c r="Q900" s="24"/>
    </row>
    <row r="901" ht="15.75" customHeight="1">
      <c r="P901" s="23"/>
      <c r="Q901" s="24"/>
    </row>
    <row r="902" ht="15.75" customHeight="1">
      <c r="P902" s="23"/>
      <c r="Q902" s="24"/>
    </row>
    <row r="903" ht="15.75" customHeight="1">
      <c r="P903" s="23"/>
      <c r="Q903" s="24"/>
    </row>
    <row r="904" ht="15.75" customHeight="1">
      <c r="P904" s="23"/>
      <c r="Q904" s="24"/>
    </row>
    <row r="905" ht="15.75" customHeight="1">
      <c r="P905" s="23"/>
      <c r="Q905" s="24"/>
    </row>
    <row r="906" ht="15.75" customHeight="1">
      <c r="P906" s="23"/>
      <c r="Q906" s="24"/>
    </row>
    <row r="907" ht="15.75" customHeight="1">
      <c r="P907" s="23"/>
      <c r="Q907" s="24"/>
    </row>
    <row r="908" ht="15.75" customHeight="1">
      <c r="P908" s="23"/>
      <c r="Q908" s="24"/>
    </row>
    <row r="909" ht="15.75" customHeight="1">
      <c r="P909" s="23"/>
      <c r="Q909" s="24"/>
    </row>
    <row r="910" ht="15.75" customHeight="1">
      <c r="P910" s="23"/>
      <c r="Q910" s="24"/>
    </row>
    <row r="911" ht="15.75" customHeight="1">
      <c r="P911" s="23"/>
      <c r="Q911" s="24"/>
    </row>
    <row r="912" ht="15.75" customHeight="1">
      <c r="P912" s="23"/>
      <c r="Q912" s="24"/>
    </row>
    <row r="913" ht="15.75" customHeight="1">
      <c r="P913" s="23"/>
      <c r="Q913" s="24"/>
    </row>
    <row r="914" ht="15.75" customHeight="1">
      <c r="P914" s="23"/>
      <c r="Q914" s="24"/>
    </row>
    <row r="915" ht="15.75" customHeight="1">
      <c r="P915" s="23"/>
      <c r="Q915" s="24"/>
    </row>
    <row r="916" ht="15.75" customHeight="1">
      <c r="P916" s="23"/>
      <c r="Q916" s="24"/>
    </row>
    <row r="917" ht="15.75" customHeight="1">
      <c r="P917" s="23"/>
      <c r="Q917" s="24"/>
    </row>
    <row r="918" ht="15.75" customHeight="1">
      <c r="P918" s="23"/>
      <c r="Q918" s="24"/>
    </row>
    <row r="919" ht="15.75" customHeight="1">
      <c r="P919" s="23"/>
      <c r="Q919" s="24"/>
    </row>
    <row r="920" ht="15.75" customHeight="1">
      <c r="P920" s="23"/>
      <c r="Q920" s="24"/>
    </row>
    <row r="921" ht="15.75" customHeight="1">
      <c r="P921" s="23"/>
      <c r="Q921" s="24"/>
    </row>
    <row r="922" ht="15.75" customHeight="1">
      <c r="P922" s="23"/>
      <c r="Q922" s="24"/>
    </row>
    <row r="923" ht="15.75" customHeight="1">
      <c r="P923" s="23"/>
      <c r="Q923" s="24"/>
    </row>
    <row r="924" ht="15.75" customHeight="1">
      <c r="P924" s="23"/>
      <c r="Q924" s="24"/>
    </row>
    <row r="925" ht="15.75" customHeight="1">
      <c r="P925" s="23"/>
      <c r="Q925" s="24"/>
    </row>
    <row r="926" ht="15.75" customHeight="1">
      <c r="P926" s="23"/>
      <c r="Q926" s="24"/>
    </row>
    <row r="927" ht="15.75" customHeight="1">
      <c r="P927" s="23"/>
      <c r="Q927" s="24"/>
    </row>
    <row r="928" ht="15.75" customHeight="1">
      <c r="P928" s="23"/>
      <c r="Q928" s="24"/>
    </row>
    <row r="929" ht="15.75" customHeight="1">
      <c r="P929" s="23"/>
      <c r="Q929" s="24"/>
    </row>
    <row r="930" ht="15.75" customHeight="1">
      <c r="P930" s="23"/>
      <c r="Q930" s="24"/>
    </row>
    <row r="931" ht="15.75" customHeight="1">
      <c r="P931" s="23"/>
      <c r="Q931" s="24"/>
    </row>
    <row r="932" ht="15.75" customHeight="1">
      <c r="P932" s="23"/>
      <c r="Q932" s="24"/>
    </row>
    <row r="933" ht="15.75" customHeight="1">
      <c r="P933" s="23"/>
      <c r="Q933" s="24"/>
    </row>
    <row r="934" ht="15.75" customHeight="1">
      <c r="P934" s="23"/>
      <c r="Q934" s="24"/>
    </row>
    <row r="935" ht="15.75" customHeight="1">
      <c r="P935" s="23"/>
      <c r="Q935" s="24"/>
    </row>
    <row r="936" ht="15.75" customHeight="1">
      <c r="P936" s="23"/>
      <c r="Q936" s="24"/>
    </row>
    <row r="937" ht="15.75" customHeight="1">
      <c r="P937" s="23"/>
      <c r="Q937" s="24"/>
    </row>
    <row r="938" ht="15.75" customHeight="1">
      <c r="P938" s="23"/>
      <c r="Q938" s="24"/>
    </row>
    <row r="939" ht="15.75" customHeight="1">
      <c r="P939" s="23"/>
      <c r="Q939" s="24"/>
    </row>
    <row r="940" ht="15.75" customHeight="1">
      <c r="P940" s="23"/>
      <c r="Q940" s="24"/>
    </row>
    <row r="941" ht="15.75" customHeight="1">
      <c r="P941" s="23"/>
      <c r="Q941" s="24"/>
    </row>
    <row r="942" ht="15.75" customHeight="1">
      <c r="P942" s="23"/>
      <c r="Q942" s="24"/>
    </row>
    <row r="943" ht="15.75" customHeight="1">
      <c r="P943" s="23"/>
      <c r="Q943" s="24"/>
    </row>
    <row r="944" ht="15.75" customHeight="1">
      <c r="P944" s="23"/>
      <c r="Q944" s="24"/>
    </row>
    <row r="945" ht="15.75" customHeight="1">
      <c r="P945" s="23"/>
      <c r="Q945" s="24"/>
    </row>
    <row r="946" ht="15.75" customHeight="1">
      <c r="P946" s="23"/>
      <c r="Q946" s="24"/>
    </row>
    <row r="947" ht="15.75" customHeight="1">
      <c r="P947" s="23"/>
      <c r="Q947" s="24"/>
    </row>
    <row r="948" ht="15.75" customHeight="1">
      <c r="P948" s="23"/>
      <c r="Q948" s="24"/>
    </row>
    <row r="949" ht="15.75" customHeight="1">
      <c r="P949" s="23"/>
      <c r="Q949" s="24"/>
    </row>
    <row r="950" ht="15.75" customHeight="1">
      <c r="P950" s="23"/>
      <c r="Q950" s="24"/>
    </row>
    <row r="951" ht="15.75" customHeight="1">
      <c r="P951" s="23"/>
      <c r="Q951" s="24"/>
    </row>
    <row r="952" ht="15.75" customHeight="1">
      <c r="P952" s="23"/>
      <c r="Q952" s="24"/>
    </row>
    <row r="953" ht="15.75" customHeight="1">
      <c r="P953" s="23"/>
      <c r="Q953" s="24"/>
    </row>
    <row r="954" ht="15.75" customHeight="1">
      <c r="P954" s="23"/>
      <c r="Q954" s="24"/>
    </row>
    <row r="955" ht="15.75" customHeight="1">
      <c r="P955" s="23"/>
      <c r="Q955" s="24"/>
    </row>
    <row r="956" ht="15.75" customHeight="1">
      <c r="P956" s="23"/>
      <c r="Q956" s="24"/>
    </row>
    <row r="957" ht="15.75" customHeight="1">
      <c r="P957" s="23"/>
      <c r="Q957" s="24"/>
    </row>
    <row r="958" ht="15.75" customHeight="1">
      <c r="P958" s="23"/>
      <c r="Q958" s="24"/>
    </row>
    <row r="959" ht="15.75" customHeight="1">
      <c r="P959" s="23"/>
      <c r="Q959" s="24"/>
    </row>
    <row r="960" ht="15.75" customHeight="1">
      <c r="P960" s="23"/>
      <c r="Q960" s="24"/>
    </row>
    <row r="961" ht="15.75" customHeight="1">
      <c r="P961" s="23"/>
      <c r="Q961" s="24"/>
    </row>
    <row r="962" ht="15.75" customHeight="1">
      <c r="P962" s="23"/>
      <c r="Q962" s="24"/>
    </row>
    <row r="963" ht="15.75" customHeight="1">
      <c r="P963" s="23"/>
      <c r="Q963" s="24"/>
    </row>
    <row r="964" ht="15.75" customHeight="1">
      <c r="P964" s="23"/>
      <c r="Q964" s="24"/>
    </row>
    <row r="965" ht="15.75" customHeight="1">
      <c r="P965" s="23"/>
      <c r="Q965" s="24"/>
    </row>
    <row r="966" ht="15.75" customHeight="1">
      <c r="P966" s="23"/>
      <c r="Q966" s="24"/>
    </row>
    <row r="967" ht="15.75" customHeight="1">
      <c r="P967" s="23"/>
      <c r="Q967" s="24"/>
    </row>
    <row r="968" ht="15.75" customHeight="1">
      <c r="P968" s="23"/>
      <c r="Q968" s="24"/>
    </row>
    <row r="969" ht="15.75" customHeight="1">
      <c r="P969" s="23"/>
      <c r="Q969" s="24"/>
    </row>
    <row r="970" ht="15.75" customHeight="1">
      <c r="P970" s="23"/>
      <c r="Q970" s="24"/>
    </row>
    <row r="971" ht="15.75" customHeight="1">
      <c r="P971" s="23"/>
      <c r="Q971" s="24"/>
    </row>
    <row r="972" ht="15.75" customHeight="1">
      <c r="P972" s="23"/>
      <c r="Q972" s="24"/>
    </row>
    <row r="973" ht="15.75" customHeight="1">
      <c r="P973" s="23"/>
      <c r="Q973" s="24"/>
    </row>
    <row r="974" ht="15.75" customHeight="1">
      <c r="P974" s="23"/>
      <c r="Q974" s="24"/>
    </row>
    <row r="975" ht="15.75" customHeight="1">
      <c r="P975" s="23"/>
      <c r="Q975" s="24"/>
    </row>
    <row r="976" ht="15.75" customHeight="1">
      <c r="P976" s="23"/>
      <c r="Q976" s="24"/>
    </row>
    <row r="977" ht="15.75" customHeight="1">
      <c r="P977" s="23"/>
      <c r="Q977" s="24"/>
    </row>
    <row r="978" ht="15.75" customHeight="1">
      <c r="P978" s="23"/>
      <c r="Q978" s="24"/>
    </row>
    <row r="979" ht="15.75" customHeight="1">
      <c r="P979" s="23"/>
      <c r="Q979" s="24"/>
    </row>
    <row r="980" ht="15.75" customHeight="1">
      <c r="P980" s="23"/>
      <c r="Q980" s="24"/>
    </row>
    <row r="981" ht="15.75" customHeight="1">
      <c r="P981" s="23"/>
      <c r="Q981" s="24"/>
    </row>
    <row r="982" ht="15.75" customHeight="1">
      <c r="P982" s="23"/>
      <c r="Q982" s="24"/>
    </row>
    <row r="983" ht="15.75" customHeight="1">
      <c r="P983" s="23"/>
      <c r="Q983" s="24"/>
    </row>
    <row r="984" ht="15.75" customHeight="1">
      <c r="P984" s="23"/>
      <c r="Q984" s="24"/>
    </row>
    <row r="985" ht="15.75" customHeight="1">
      <c r="P985" s="23"/>
      <c r="Q985" s="24"/>
    </row>
    <row r="986" ht="15.75" customHeight="1">
      <c r="P986" s="23"/>
      <c r="Q986" s="24"/>
    </row>
    <row r="987" ht="15.75" customHeight="1">
      <c r="P987" s="23"/>
      <c r="Q987" s="24"/>
    </row>
    <row r="988" ht="15.75" customHeight="1">
      <c r="P988" s="23"/>
      <c r="Q988" s="24"/>
    </row>
    <row r="989" ht="15.75" customHeight="1">
      <c r="P989" s="23"/>
      <c r="Q989" s="24"/>
    </row>
    <row r="990" ht="15.75" customHeight="1">
      <c r="P990" s="23"/>
      <c r="Q990" s="24"/>
    </row>
    <row r="991" ht="15.75" customHeight="1">
      <c r="P991" s="23"/>
      <c r="Q991" s="24"/>
    </row>
    <row r="992" ht="15.75" customHeight="1">
      <c r="P992" s="23"/>
      <c r="Q992" s="24"/>
    </row>
    <row r="993" ht="15.75" customHeight="1">
      <c r="P993" s="23"/>
      <c r="Q993" s="24"/>
    </row>
    <row r="994" ht="15.75" customHeight="1">
      <c r="P994" s="23"/>
      <c r="Q994" s="24"/>
    </row>
    <row r="995" ht="15.75" customHeight="1">
      <c r="P995" s="23"/>
      <c r="Q995" s="24"/>
    </row>
    <row r="996" ht="15.75" customHeight="1">
      <c r="P996" s="23"/>
      <c r="Q996" s="24"/>
    </row>
    <row r="997" ht="15.75" customHeight="1">
      <c r="P997" s="23"/>
      <c r="Q997" s="24"/>
    </row>
    <row r="998" ht="15.75" customHeight="1">
      <c r="P998" s="23"/>
      <c r="Q998" s="24"/>
    </row>
    <row r="999" ht="15.75" customHeight="1">
      <c r="P999" s="23"/>
      <c r="Q999" s="24"/>
    </row>
    <row r="1000" ht="15.75" customHeight="1">
      <c r="P1000" s="23"/>
      <c r="Q1000" s="24"/>
    </row>
    <row r="1001" ht="15.75" customHeight="1">
      <c r="P1001" s="23"/>
      <c r="Q1001" s="24"/>
    </row>
    <row r="1002" ht="15.75" customHeight="1">
      <c r="P1002" s="23"/>
      <c r="Q1002" s="24"/>
    </row>
    <row r="1003" ht="15.75" customHeight="1">
      <c r="P1003" s="23"/>
      <c r="Q1003" s="24"/>
    </row>
    <row r="1004" ht="15.75" customHeight="1">
      <c r="P1004" s="23"/>
      <c r="Q1004" s="24"/>
    </row>
    <row r="1005" ht="15.75" customHeight="1">
      <c r="P1005" s="23"/>
      <c r="Q1005" s="24"/>
    </row>
  </sheetData>
  <conditionalFormatting sqref="A2:Y1001">
    <cfRule type="expression" dxfId="0" priority="1">
      <formula>$N2&gt;0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22"/>
    <col customWidth="1" min="3" max="3" width="28.67"/>
    <col customWidth="1" min="4" max="4" width="34.89"/>
    <col customWidth="1" min="5" max="9" width="10.56"/>
    <col customWidth="1" min="10" max="10" width="18.22"/>
    <col customWidth="1" min="11" max="13" width="9.56"/>
    <col customWidth="1" min="14" max="14" width="14.78"/>
    <col customWidth="1" min="15" max="15" width="19.67"/>
    <col customWidth="1" min="16" max="16" width="14.78"/>
    <col customWidth="1" min="17" max="17" width="15.11"/>
    <col customWidth="1" min="18" max="18" width="20.78"/>
    <col customWidth="1" min="19" max="19" width="15.11"/>
    <col customWidth="1" min="20" max="20" width="21.11"/>
    <col customWidth="1" min="21" max="21" width="15.33"/>
    <col customWidth="1" min="22" max="22" width="14.89"/>
    <col customWidth="1" min="23" max="23" width="10.56"/>
    <col customWidth="1" min="24" max="24" width="18.22"/>
    <col customWidth="1" min="25" max="30" width="10.56"/>
  </cols>
  <sheetData>
    <row r="1" ht="15.75" customHeight="1">
      <c r="A1" s="16" t="s">
        <v>108</v>
      </c>
      <c r="B1" s="16" t="s">
        <v>44</v>
      </c>
      <c r="C1" s="16" t="s">
        <v>9</v>
      </c>
      <c r="D1" s="30" t="s">
        <v>45</v>
      </c>
      <c r="E1" s="30" t="s">
        <v>46</v>
      </c>
      <c r="F1" s="30" t="s">
        <v>47</v>
      </c>
      <c r="G1" s="31" t="s">
        <v>48</v>
      </c>
      <c r="H1" s="31" t="s">
        <v>49</v>
      </c>
      <c r="I1" s="32" t="s">
        <v>50</v>
      </c>
      <c r="J1" s="16" t="s">
        <v>2</v>
      </c>
      <c r="K1" s="16" t="s">
        <v>51</v>
      </c>
      <c r="L1" s="16" t="s">
        <v>52</v>
      </c>
      <c r="M1" s="16" t="s">
        <v>53</v>
      </c>
      <c r="N1" s="16" t="s">
        <v>158</v>
      </c>
      <c r="O1" s="16" t="s">
        <v>159</v>
      </c>
      <c r="P1" s="16" t="s">
        <v>160</v>
      </c>
      <c r="Q1" s="16" t="s">
        <v>161</v>
      </c>
      <c r="R1" s="16" t="s">
        <v>159</v>
      </c>
      <c r="S1" s="16" t="s">
        <v>162</v>
      </c>
      <c r="T1" s="16" t="s">
        <v>54</v>
      </c>
      <c r="U1" s="16" t="s">
        <v>55</v>
      </c>
      <c r="V1" s="16" t="s">
        <v>56</v>
      </c>
      <c r="W1" s="19" t="s">
        <v>57</v>
      </c>
      <c r="X1" s="16" t="s">
        <v>58</v>
      </c>
      <c r="Y1" s="23"/>
      <c r="Z1" s="20" t="s">
        <v>59</v>
      </c>
      <c r="AA1" s="23"/>
      <c r="AB1" s="23"/>
      <c r="AC1" s="23"/>
      <c r="AD1" s="23"/>
    </row>
    <row r="2" ht="15.75" customHeight="1">
      <c r="A2" s="25">
        <v>45582.911944444444</v>
      </c>
      <c r="B2" s="22">
        <f t="shared" ref="B2:B29" si="1">A2-time(11,0,0)</f>
        <v>45582.45361</v>
      </c>
      <c r="C2" s="11" t="s">
        <v>26</v>
      </c>
      <c r="D2" s="11" t="s">
        <v>163</v>
      </c>
      <c r="E2" s="12">
        <v>-14.2817</v>
      </c>
      <c r="F2" s="12">
        <v>-170.5608</v>
      </c>
      <c r="G2" s="12" t="s">
        <v>62</v>
      </c>
      <c r="H2" s="12" t="s">
        <v>69</v>
      </c>
      <c r="I2" s="33">
        <f>16.6170520994347</f>
        <v>16.6170521</v>
      </c>
      <c r="K2" s="11" t="s">
        <v>64</v>
      </c>
      <c r="L2" s="11" t="s">
        <v>64</v>
      </c>
      <c r="N2" s="11">
        <v>1.271</v>
      </c>
      <c r="O2" s="11">
        <v>1.52</v>
      </c>
      <c r="P2" s="11">
        <f t="shared" ref="P2:P29" si="2">N2-O2</f>
        <v>-0.249</v>
      </c>
      <c r="Q2" s="11">
        <v>1.28</v>
      </c>
      <c r="R2" s="11">
        <v>1.63</v>
      </c>
      <c r="S2" s="11">
        <f>Q2-R2</f>
        <v>-0.35</v>
      </c>
      <c r="T2" s="11">
        <v>-2.14</v>
      </c>
      <c r="U2" s="11">
        <v>-1.18</v>
      </c>
      <c r="V2" s="23">
        <f t="shared" ref="V2:V29" si="3">T2-U2</f>
        <v>-0.96</v>
      </c>
      <c r="W2" s="24">
        <f t="shared" ref="W2:W29" si="4">V2/3.281</f>
        <v>-0.2925937214</v>
      </c>
      <c r="X2" s="11">
        <v>0.0</v>
      </c>
      <c r="Z2" s="12" t="s">
        <v>66</v>
      </c>
    </row>
    <row r="3" ht="15.75" customHeight="1">
      <c r="A3" s="25">
        <v>45611.85351851852</v>
      </c>
      <c r="B3" s="22">
        <f t="shared" si="1"/>
        <v>45611.39519</v>
      </c>
      <c r="C3" s="11" t="s">
        <v>121</v>
      </c>
      <c r="D3" s="12" t="s">
        <v>164</v>
      </c>
      <c r="E3" s="12">
        <v>-14.2765</v>
      </c>
      <c r="F3" s="12">
        <v>-170.5676</v>
      </c>
      <c r="G3" s="12" t="s">
        <v>62</v>
      </c>
      <c r="H3" s="12" t="s">
        <v>69</v>
      </c>
      <c r="I3" s="33">
        <f>24.5903691653225</f>
        <v>24.59036917</v>
      </c>
      <c r="K3" s="11" t="s">
        <v>64</v>
      </c>
      <c r="L3" s="11" t="s">
        <v>64</v>
      </c>
      <c r="M3" s="11" t="s">
        <v>75</v>
      </c>
      <c r="N3" s="11">
        <v>1.444</v>
      </c>
      <c r="O3" s="11">
        <v>1.46</v>
      </c>
      <c r="P3" s="11">
        <f t="shared" si="2"/>
        <v>-0.016</v>
      </c>
      <c r="Q3" s="11"/>
      <c r="R3" s="11"/>
      <c r="S3" s="11"/>
      <c r="T3" s="11">
        <v>-0.95</v>
      </c>
      <c r="U3" s="11">
        <v>-1.18</v>
      </c>
      <c r="V3" s="23">
        <f t="shared" si="3"/>
        <v>0.23</v>
      </c>
      <c r="W3" s="24">
        <f t="shared" si="4"/>
        <v>0.07010057909</v>
      </c>
      <c r="X3" s="11">
        <v>0.0</v>
      </c>
      <c r="Z3" s="12" t="s">
        <v>70</v>
      </c>
    </row>
    <row r="4" ht="15.75" customHeight="1">
      <c r="A4" s="25">
        <v>45617.41105324074</v>
      </c>
      <c r="B4" s="22">
        <f t="shared" si="1"/>
        <v>45616.95272</v>
      </c>
      <c r="C4" s="11" t="s">
        <v>71</v>
      </c>
      <c r="D4" s="12" t="s">
        <v>165</v>
      </c>
      <c r="E4" s="12">
        <v>-14.2761</v>
      </c>
      <c r="F4" s="12">
        <v>-170.5631</v>
      </c>
      <c r="G4" s="12" t="s">
        <v>68</v>
      </c>
      <c r="H4" s="12" t="s">
        <v>63</v>
      </c>
      <c r="I4" s="33">
        <f>16.6704317781577</f>
        <v>16.67043178</v>
      </c>
      <c r="J4" s="12"/>
      <c r="K4" s="11" t="s">
        <v>64</v>
      </c>
      <c r="L4" s="11" t="s">
        <v>65</v>
      </c>
      <c r="M4" s="12"/>
      <c r="N4" s="11">
        <v>1.771</v>
      </c>
      <c r="O4" s="11">
        <v>1.46</v>
      </c>
      <c r="P4" s="11">
        <f t="shared" si="2"/>
        <v>0.311</v>
      </c>
      <c r="Q4" s="11"/>
      <c r="R4" s="11"/>
      <c r="S4" s="11"/>
      <c r="T4" s="11">
        <v>-0.36</v>
      </c>
      <c r="U4" s="11">
        <v>-1.18</v>
      </c>
      <c r="V4" s="23">
        <f t="shared" si="3"/>
        <v>0.82</v>
      </c>
      <c r="W4" s="24">
        <f t="shared" si="4"/>
        <v>0.2499238037</v>
      </c>
      <c r="X4" s="11">
        <v>0.0</v>
      </c>
      <c r="Y4" s="12"/>
      <c r="Z4" s="12" t="s">
        <v>73</v>
      </c>
      <c r="AA4" s="12"/>
      <c r="AB4" s="12"/>
      <c r="AC4" s="12"/>
      <c r="AD4" s="12"/>
    </row>
    <row r="5" ht="15.75" customHeight="1">
      <c r="A5" s="25">
        <v>45645.35377314815</v>
      </c>
      <c r="B5" s="22">
        <f t="shared" si="1"/>
        <v>45644.89544</v>
      </c>
      <c r="C5" s="11" t="s">
        <v>26</v>
      </c>
      <c r="D5" s="12" t="s">
        <v>166</v>
      </c>
      <c r="E5" s="12">
        <v>-14.276</v>
      </c>
      <c r="F5" s="12">
        <v>-170.5646</v>
      </c>
      <c r="G5" s="12" t="s">
        <v>68</v>
      </c>
      <c r="H5" s="12" t="s">
        <v>69</v>
      </c>
      <c r="I5" s="33">
        <f>25.950986605012</f>
        <v>25.95098661</v>
      </c>
      <c r="J5" s="12"/>
      <c r="K5" s="11" t="s">
        <v>64</v>
      </c>
      <c r="L5" s="11" t="s">
        <v>64</v>
      </c>
      <c r="M5" s="12"/>
      <c r="N5" s="11">
        <v>1.819</v>
      </c>
      <c r="O5" s="11">
        <v>1.5</v>
      </c>
      <c r="P5" s="11">
        <f t="shared" si="2"/>
        <v>0.319</v>
      </c>
      <c r="Q5" s="11">
        <v>1.816</v>
      </c>
      <c r="R5" s="11">
        <v>1.51</v>
      </c>
      <c r="S5" s="11">
        <f t="shared" ref="S5:S29" si="5">Q5-R5</f>
        <v>0.306</v>
      </c>
      <c r="T5" s="11">
        <v>-0.28</v>
      </c>
      <c r="U5" s="11">
        <v>-1.18</v>
      </c>
      <c r="V5" s="23">
        <f t="shared" si="3"/>
        <v>0.9</v>
      </c>
      <c r="W5" s="24">
        <f t="shared" si="4"/>
        <v>0.2743066138</v>
      </c>
      <c r="X5" s="11">
        <v>0.0</v>
      </c>
      <c r="Y5" s="12"/>
      <c r="Z5" s="12"/>
      <c r="AA5" s="12"/>
      <c r="AB5" s="12"/>
      <c r="AC5" s="12"/>
      <c r="AD5" s="12"/>
    </row>
    <row r="6" ht="15.75" customHeight="1">
      <c r="A6" s="25">
        <v>45645.85233796296</v>
      </c>
      <c r="B6" s="22">
        <f t="shared" si="1"/>
        <v>45645.394</v>
      </c>
      <c r="C6" s="11" t="s">
        <v>26</v>
      </c>
      <c r="D6" s="12" t="s">
        <v>167</v>
      </c>
      <c r="E6" s="12">
        <v>-14.2754</v>
      </c>
      <c r="F6" s="12">
        <v>-170.5653</v>
      </c>
      <c r="G6" s="12" t="s">
        <v>62</v>
      </c>
      <c r="H6" s="12" t="s">
        <v>69</v>
      </c>
      <c r="I6" s="33">
        <f>16.5988276104262</f>
        <v>16.59882761</v>
      </c>
      <c r="J6" s="12"/>
      <c r="K6" s="11" t="s">
        <v>64</v>
      </c>
      <c r="L6" s="11" t="s">
        <v>65</v>
      </c>
      <c r="M6" s="12"/>
      <c r="N6" s="11">
        <v>1.684</v>
      </c>
      <c r="O6" s="11">
        <v>1.5</v>
      </c>
      <c r="P6" s="11">
        <f t="shared" si="2"/>
        <v>0.184</v>
      </c>
      <c r="Q6" s="11">
        <v>1.635</v>
      </c>
      <c r="R6" s="11">
        <v>1.51</v>
      </c>
      <c r="S6" s="11">
        <f t="shared" si="5"/>
        <v>0.125</v>
      </c>
      <c r="T6" s="11">
        <v>-0.92</v>
      </c>
      <c r="U6" s="11">
        <v>-1.18</v>
      </c>
      <c r="V6" s="23">
        <f t="shared" si="3"/>
        <v>0.26</v>
      </c>
      <c r="W6" s="24">
        <f t="shared" si="4"/>
        <v>0.07924413289</v>
      </c>
      <c r="X6" s="11">
        <v>0.0</v>
      </c>
      <c r="Y6" s="12"/>
      <c r="Z6" s="12"/>
      <c r="AA6" s="12"/>
      <c r="AB6" s="12"/>
      <c r="AC6" s="12"/>
      <c r="AD6" s="12"/>
    </row>
    <row r="7" ht="15.75" customHeight="1">
      <c r="A7" s="25">
        <v>45665.89974537037</v>
      </c>
      <c r="B7" s="22">
        <f t="shared" si="1"/>
        <v>45665.44141</v>
      </c>
      <c r="C7" s="11" t="s">
        <v>71</v>
      </c>
      <c r="D7" s="12" t="s">
        <v>168</v>
      </c>
      <c r="E7" s="12">
        <v>-14.2744</v>
      </c>
      <c r="F7" s="12">
        <v>-170.5623</v>
      </c>
      <c r="G7" s="12" t="s">
        <v>62</v>
      </c>
      <c r="H7" s="12" t="s">
        <v>63</v>
      </c>
      <c r="I7" s="33">
        <f>34.8255265473644</f>
        <v>34.82552655</v>
      </c>
      <c r="J7" s="12" t="s">
        <v>169</v>
      </c>
      <c r="K7" s="11" t="s">
        <v>64</v>
      </c>
      <c r="L7" s="11" t="s">
        <v>64</v>
      </c>
      <c r="N7" s="11">
        <v>1.403</v>
      </c>
      <c r="O7" s="11">
        <v>1.5</v>
      </c>
      <c r="P7" s="11">
        <f t="shared" si="2"/>
        <v>-0.097</v>
      </c>
      <c r="Q7" s="11">
        <v>1.433</v>
      </c>
      <c r="R7" s="11">
        <v>1.51</v>
      </c>
      <c r="S7" s="11">
        <f t="shared" si="5"/>
        <v>-0.077</v>
      </c>
      <c r="T7" s="11">
        <v>-1.46</v>
      </c>
      <c r="U7" s="11">
        <v>-1.18</v>
      </c>
      <c r="V7" s="23">
        <f t="shared" si="3"/>
        <v>-0.28</v>
      </c>
      <c r="W7" s="24">
        <f t="shared" si="4"/>
        <v>-0.08533983542</v>
      </c>
      <c r="X7" s="11">
        <v>0.0</v>
      </c>
    </row>
    <row r="8" ht="15.75" customHeight="1">
      <c r="A8" s="25">
        <v>45666.90078703704</v>
      </c>
      <c r="B8" s="22">
        <f t="shared" si="1"/>
        <v>45666.44245</v>
      </c>
      <c r="C8" s="11" t="s">
        <v>71</v>
      </c>
      <c r="D8" s="12" t="s">
        <v>170</v>
      </c>
      <c r="E8" s="12">
        <v>-14.2735</v>
      </c>
      <c r="F8" s="12">
        <v>-170.5616</v>
      </c>
      <c r="G8" s="12" t="s">
        <v>62</v>
      </c>
      <c r="H8" s="12" t="s">
        <v>63</v>
      </c>
      <c r="I8" s="33">
        <f>34.3646028659563</f>
        <v>34.36460287</v>
      </c>
      <c r="K8" s="11" t="s">
        <v>64</v>
      </c>
      <c r="L8" s="11" t="s">
        <v>64</v>
      </c>
      <c r="M8" s="11" t="s">
        <v>75</v>
      </c>
      <c r="N8" s="11">
        <v>1.232</v>
      </c>
      <c r="O8" s="11">
        <v>1.5</v>
      </c>
      <c r="P8" s="11">
        <f t="shared" si="2"/>
        <v>-0.268</v>
      </c>
      <c r="Q8" s="11">
        <v>1.221</v>
      </c>
      <c r="R8" s="11">
        <v>1.51</v>
      </c>
      <c r="S8" s="11">
        <f t="shared" si="5"/>
        <v>-0.289</v>
      </c>
      <c r="T8" s="11">
        <v>-2.08</v>
      </c>
      <c r="U8" s="11">
        <v>-1.18</v>
      </c>
      <c r="V8" s="23">
        <f t="shared" si="3"/>
        <v>-0.9</v>
      </c>
      <c r="W8" s="24">
        <f t="shared" si="4"/>
        <v>-0.2743066138</v>
      </c>
      <c r="X8" s="11">
        <v>0.02</v>
      </c>
    </row>
    <row r="9" ht="15.75" customHeight="1">
      <c r="A9" s="25">
        <v>45667.91275462963</v>
      </c>
      <c r="B9" s="22">
        <f t="shared" si="1"/>
        <v>45667.45442</v>
      </c>
      <c r="C9" s="11" t="s">
        <v>71</v>
      </c>
      <c r="D9" s="12" t="s">
        <v>171</v>
      </c>
      <c r="E9" s="12">
        <v>-14.2735</v>
      </c>
      <c r="F9" s="12">
        <v>-170.5616</v>
      </c>
      <c r="G9" s="12" t="s">
        <v>62</v>
      </c>
      <c r="H9" s="12" t="s">
        <v>69</v>
      </c>
      <c r="I9" s="33">
        <f>18.6999333801606</f>
        <v>18.69993338</v>
      </c>
      <c r="K9" s="11" t="s">
        <v>64</v>
      </c>
      <c r="L9" s="11" t="s">
        <v>65</v>
      </c>
      <c r="N9" s="11">
        <v>1.18</v>
      </c>
      <c r="O9" s="11">
        <v>1.5</v>
      </c>
      <c r="P9" s="11">
        <f t="shared" si="2"/>
        <v>-0.32</v>
      </c>
      <c r="Q9" s="11">
        <v>1.234</v>
      </c>
      <c r="R9" s="11">
        <v>1.51</v>
      </c>
      <c r="S9" s="11">
        <f t="shared" si="5"/>
        <v>-0.276</v>
      </c>
      <c r="T9" s="11">
        <v>-2.47</v>
      </c>
      <c r="U9" s="11">
        <v>-1.18</v>
      </c>
      <c r="V9" s="23">
        <f t="shared" si="3"/>
        <v>-1.29</v>
      </c>
      <c r="W9" s="24">
        <f t="shared" si="4"/>
        <v>-0.3931728132</v>
      </c>
      <c r="X9" s="11">
        <v>0.15</v>
      </c>
    </row>
    <row r="10" ht="15.75" customHeight="1">
      <c r="A10" s="25">
        <v>45698.40660879629</v>
      </c>
      <c r="B10" s="22">
        <f t="shared" si="1"/>
        <v>45697.94828</v>
      </c>
      <c r="C10" s="11" t="s">
        <v>82</v>
      </c>
      <c r="D10" s="12" t="s">
        <v>172</v>
      </c>
      <c r="E10" s="12">
        <v>-14.2754</v>
      </c>
      <c r="F10" s="12">
        <v>-170.5632</v>
      </c>
      <c r="G10" s="11" t="s">
        <v>68</v>
      </c>
      <c r="H10" s="11" t="s">
        <v>69</v>
      </c>
      <c r="I10" s="33">
        <f>31.7002374516605</f>
        <v>31.70023745</v>
      </c>
      <c r="K10" s="11" t="s">
        <v>64</v>
      </c>
      <c r="L10" s="11" t="s">
        <v>64</v>
      </c>
      <c r="M10" s="11" t="s">
        <v>75</v>
      </c>
      <c r="N10" s="11">
        <v>1.133</v>
      </c>
      <c r="O10" s="11">
        <v>1.51</v>
      </c>
      <c r="P10" s="11">
        <f t="shared" si="2"/>
        <v>-0.377</v>
      </c>
      <c r="Q10" s="11">
        <v>1.132</v>
      </c>
      <c r="R10" s="11">
        <v>1.5</v>
      </c>
      <c r="S10" s="11">
        <f t="shared" si="5"/>
        <v>-0.368</v>
      </c>
      <c r="T10" s="11">
        <v>-2.6</v>
      </c>
      <c r="U10" s="11">
        <v>-1.18</v>
      </c>
      <c r="V10" s="23">
        <f t="shared" si="3"/>
        <v>-1.42</v>
      </c>
      <c r="W10" s="24">
        <f t="shared" si="4"/>
        <v>-0.4327948796</v>
      </c>
      <c r="X10" s="11">
        <v>0.0</v>
      </c>
    </row>
    <row r="11" ht="15.75" customHeight="1">
      <c r="A11" s="25">
        <v>45702.85422453703</v>
      </c>
      <c r="B11" s="22">
        <f t="shared" si="1"/>
        <v>45702.39589</v>
      </c>
      <c r="C11" s="11" t="s">
        <v>30</v>
      </c>
      <c r="D11" s="26" t="s">
        <v>173</v>
      </c>
      <c r="E11" s="27">
        <v>-14.2747</v>
      </c>
      <c r="F11" s="27">
        <v>-170.5634</v>
      </c>
      <c r="G11" s="11" t="s">
        <v>62</v>
      </c>
      <c r="H11" s="11" t="s">
        <v>69</v>
      </c>
      <c r="I11" s="33">
        <f>23.0658446992638</f>
        <v>23.0658447</v>
      </c>
      <c r="J11" s="12"/>
      <c r="K11" s="11" t="s">
        <v>64</v>
      </c>
      <c r="L11" s="11" t="s">
        <v>64</v>
      </c>
      <c r="M11" s="12"/>
      <c r="N11" s="11">
        <v>1.903</v>
      </c>
      <c r="O11" s="11">
        <v>1.51</v>
      </c>
      <c r="P11" s="11">
        <f t="shared" si="2"/>
        <v>0.393</v>
      </c>
      <c r="Q11" s="11">
        <v>1.88</v>
      </c>
      <c r="R11" s="11">
        <v>1.5</v>
      </c>
      <c r="S11" s="11">
        <f t="shared" si="5"/>
        <v>0.38</v>
      </c>
      <c r="T11" s="11">
        <v>-0.07</v>
      </c>
      <c r="U11" s="11">
        <v>-1.18</v>
      </c>
      <c r="V11" s="23">
        <f t="shared" si="3"/>
        <v>1.11</v>
      </c>
      <c r="W11" s="24">
        <f t="shared" si="4"/>
        <v>0.3383114904</v>
      </c>
      <c r="X11" s="11">
        <v>0.0</v>
      </c>
      <c r="Y11" s="12"/>
      <c r="Z11" s="12"/>
      <c r="AA11" s="12"/>
      <c r="AB11" s="12"/>
      <c r="AC11" s="12"/>
      <c r="AD11" s="12"/>
    </row>
    <row r="12" ht="15.75" customHeight="1">
      <c r="A12" s="25">
        <v>45706.85329861111</v>
      </c>
      <c r="B12" s="22">
        <f t="shared" si="1"/>
        <v>45706.39497</v>
      </c>
      <c r="C12" s="11" t="s">
        <v>71</v>
      </c>
      <c r="D12" s="26" t="s">
        <v>174</v>
      </c>
      <c r="E12" s="27">
        <v>-14.2748</v>
      </c>
      <c r="F12" s="27">
        <v>-170.5637</v>
      </c>
      <c r="G12" s="11" t="s">
        <v>62</v>
      </c>
      <c r="H12" s="11" t="s">
        <v>69</v>
      </c>
      <c r="I12" s="33">
        <v>23.3382856242583</v>
      </c>
      <c r="J12" s="12"/>
      <c r="K12" s="11" t="s">
        <v>64</v>
      </c>
      <c r="L12" s="11" t="s">
        <v>65</v>
      </c>
      <c r="M12" s="12"/>
      <c r="N12" s="11">
        <v>1.775</v>
      </c>
      <c r="O12" s="11">
        <v>1.56</v>
      </c>
      <c r="P12" s="11">
        <f t="shared" si="2"/>
        <v>0.215</v>
      </c>
      <c r="Q12" s="11">
        <v>1.762</v>
      </c>
      <c r="R12" s="11">
        <v>1.55</v>
      </c>
      <c r="S12" s="11">
        <f t="shared" si="5"/>
        <v>0.212</v>
      </c>
      <c r="T12" s="11">
        <v>-0.47</v>
      </c>
      <c r="U12" s="11">
        <v>-1.18</v>
      </c>
      <c r="V12" s="23">
        <f t="shared" si="3"/>
        <v>0.71</v>
      </c>
      <c r="W12" s="24">
        <f t="shared" si="4"/>
        <v>0.2163974398</v>
      </c>
      <c r="X12" s="11">
        <v>0.0</v>
      </c>
      <c r="Y12" s="12"/>
      <c r="Z12" s="12"/>
      <c r="AA12" s="12"/>
      <c r="AB12" s="12"/>
      <c r="AC12" s="12"/>
      <c r="AD12" s="12"/>
    </row>
    <row r="13" ht="15.75" customHeight="1">
      <c r="A13" s="25">
        <v>45728.8921875</v>
      </c>
      <c r="B13" s="22">
        <f t="shared" si="1"/>
        <v>45728.43385</v>
      </c>
      <c r="C13" s="11" t="s">
        <v>82</v>
      </c>
      <c r="D13" s="11" t="s">
        <v>175</v>
      </c>
      <c r="E13" s="27">
        <v>-14.2763</v>
      </c>
      <c r="F13" s="27">
        <v>-170.5638</v>
      </c>
      <c r="G13" s="11" t="s">
        <v>62</v>
      </c>
      <c r="H13" s="11" t="s">
        <v>63</v>
      </c>
      <c r="I13" s="34">
        <v>34.4248802418949</v>
      </c>
      <c r="K13" s="11" t="s">
        <v>64</v>
      </c>
      <c r="L13" s="11" t="s">
        <v>64</v>
      </c>
      <c r="M13" s="11" t="s">
        <v>75</v>
      </c>
      <c r="N13" s="11">
        <v>1.311</v>
      </c>
      <c r="O13" s="11">
        <v>1.56</v>
      </c>
      <c r="P13" s="11">
        <f t="shared" si="2"/>
        <v>-0.249</v>
      </c>
      <c r="Q13" s="11">
        <v>1.282</v>
      </c>
      <c r="R13" s="11">
        <v>1.55</v>
      </c>
      <c r="S13" s="11">
        <f t="shared" si="5"/>
        <v>-0.268</v>
      </c>
      <c r="T13" s="11">
        <v>-1.61</v>
      </c>
      <c r="U13" s="11">
        <v>-1.18</v>
      </c>
      <c r="V13" s="23">
        <f t="shared" si="3"/>
        <v>-0.43</v>
      </c>
      <c r="W13" s="24">
        <f t="shared" si="4"/>
        <v>-0.1310576044</v>
      </c>
      <c r="X13" s="11">
        <v>0.0</v>
      </c>
    </row>
    <row r="14" ht="15.75" customHeight="1">
      <c r="A14" s="25">
        <v>45736.918541666666</v>
      </c>
      <c r="B14" s="22">
        <f t="shared" si="1"/>
        <v>45736.46021</v>
      </c>
      <c r="C14" s="11" t="s">
        <v>71</v>
      </c>
      <c r="D14" s="26" t="s">
        <v>176</v>
      </c>
      <c r="E14" s="27">
        <v>-14.2763</v>
      </c>
      <c r="F14" s="27">
        <v>-170.5638</v>
      </c>
      <c r="G14" s="11" t="s">
        <v>62</v>
      </c>
      <c r="H14" s="11" t="s">
        <v>69</v>
      </c>
      <c r="I14" s="34">
        <v>34.4078943313749</v>
      </c>
      <c r="J14" s="12"/>
      <c r="K14" s="11" t="s">
        <v>64</v>
      </c>
      <c r="L14" s="11" t="s">
        <v>64</v>
      </c>
      <c r="M14" s="11" t="s">
        <v>75</v>
      </c>
      <c r="N14" s="11">
        <v>1.764</v>
      </c>
      <c r="O14" s="11">
        <v>1.57</v>
      </c>
      <c r="P14" s="11">
        <f t="shared" si="2"/>
        <v>0.194</v>
      </c>
      <c r="Q14" s="11">
        <v>1.773</v>
      </c>
      <c r="R14" s="11">
        <v>1.57</v>
      </c>
      <c r="S14" s="11">
        <f t="shared" si="5"/>
        <v>0.203</v>
      </c>
      <c r="T14" s="11">
        <v>-0.33</v>
      </c>
      <c r="U14" s="11">
        <v>-1.18</v>
      </c>
      <c r="V14" s="23">
        <f t="shared" si="3"/>
        <v>0.85</v>
      </c>
      <c r="W14" s="24">
        <f t="shared" si="4"/>
        <v>0.2590673575</v>
      </c>
      <c r="X14" s="11">
        <v>0.0</v>
      </c>
      <c r="Y14" s="12"/>
      <c r="Z14" s="12"/>
      <c r="AA14" s="12"/>
      <c r="AB14" s="12"/>
      <c r="AC14" s="12"/>
      <c r="AD14" s="12"/>
    </row>
    <row r="15" ht="15.75" customHeight="1">
      <c r="A15" s="25">
        <v>45737.91755787037</v>
      </c>
      <c r="B15" s="22">
        <f t="shared" si="1"/>
        <v>45737.45922</v>
      </c>
      <c r="C15" s="11" t="s">
        <v>71</v>
      </c>
      <c r="D15" s="26" t="s">
        <v>177</v>
      </c>
      <c r="E15" s="27">
        <v>-14.2763</v>
      </c>
      <c r="F15" s="27">
        <v>-170.5638</v>
      </c>
      <c r="G15" s="11" t="s">
        <v>62</v>
      </c>
      <c r="H15" s="11" t="s">
        <v>69</v>
      </c>
      <c r="I15" s="34">
        <v>32.2999007453336</v>
      </c>
      <c r="J15" s="12"/>
      <c r="K15" s="11" t="s">
        <v>64</v>
      </c>
      <c r="L15" s="11" t="s">
        <v>64</v>
      </c>
      <c r="M15" s="11" t="s">
        <v>75</v>
      </c>
      <c r="N15" s="11">
        <v>1.712</v>
      </c>
      <c r="O15" s="11">
        <v>1.57</v>
      </c>
      <c r="P15" s="11">
        <f t="shared" si="2"/>
        <v>0.142</v>
      </c>
      <c r="Q15" s="11">
        <v>1.913</v>
      </c>
      <c r="R15" s="11">
        <v>1.57</v>
      </c>
      <c r="S15" s="11">
        <f t="shared" si="5"/>
        <v>0.343</v>
      </c>
      <c r="T15" s="11">
        <v>-0.44</v>
      </c>
      <c r="U15" s="11">
        <v>-1.18</v>
      </c>
      <c r="V15" s="23">
        <f t="shared" si="3"/>
        <v>0.74</v>
      </c>
      <c r="W15" s="24">
        <f t="shared" si="4"/>
        <v>0.2255409936</v>
      </c>
      <c r="X15" s="11">
        <v>0.0</v>
      </c>
      <c r="Y15" s="12"/>
      <c r="Z15" s="12"/>
      <c r="AA15" s="12"/>
      <c r="AB15" s="12"/>
      <c r="AC15" s="12"/>
      <c r="AD15" s="12"/>
    </row>
    <row r="16" ht="15.75" customHeight="1">
      <c r="A16" s="21">
        <v>45747.90736111111</v>
      </c>
      <c r="B16" s="22">
        <f t="shared" si="1"/>
        <v>45747.44903</v>
      </c>
      <c r="C16" s="11" t="s">
        <v>178</v>
      </c>
      <c r="D16" s="26" t="s">
        <v>179</v>
      </c>
      <c r="E16" s="27">
        <v>-14.2763</v>
      </c>
      <c r="F16" s="27">
        <v>-170.5638</v>
      </c>
      <c r="G16" s="11" t="s">
        <v>62</v>
      </c>
      <c r="H16" s="11" t="s">
        <v>63</v>
      </c>
      <c r="I16" s="34">
        <v>20.1932915991396</v>
      </c>
      <c r="J16" s="12"/>
      <c r="K16" s="11" t="s">
        <v>64</v>
      </c>
      <c r="L16" s="11" t="s">
        <v>65</v>
      </c>
      <c r="M16" s="12"/>
      <c r="N16" s="11">
        <v>1.905</v>
      </c>
      <c r="O16" s="11">
        <v>1.57</v>
      </c>
      <c r="P16" s="11">
        <f t="shared" si="2"/>
        <v>0.335</v>
      </c>
      <c r="Q16" s="11">
        <v>1.895</v>
      </c>
      <c r="R16" s="11">
        <v>1.57</v>
      </c>
      <c r="S16" s="11">
        <f t="shared" si="5"/>
        <v>0.325</v>
      </c>
      <c r="T16" s="11">
        <v>0.06</v>
      </c>
      <c r="U16" s="11">
        <v>-1.18</v>
      </c>
      <c r="V16" s="23">
        <f t="shared" si="3"/>
        <v>1.24</v>
      </c>
      <c r="W16" s="24">
        <f t="shared" si="4"/>
        <v>0.3779335568</v>
      </c>
      <c r="X16" s="11">
        <v>0.0</v>
      </c>
      <c r="Y16" s="12"/>
      <c r="Z16" s="12"/>
      <c r="AA16" s="12"/>
      <c r="AB16" s="12"/>
      <c r="AC16" s="12"/>
      <c r="AD16" s="12"/>
    </row>
    <row r="17" ht="15.75" customHeight="1">
      <c r="A17" s="21">
        <v>45785.35828703704</v>
      </c>
      <c r="B17" s="22">
        <f t="shared" si="1"/>
        <v>45784.89995</v>
      </c>
      <c r="C17" s="11" t="s">
        <v>71</v>
      </c>
      <c r="D17" s="26" t="s">
        <v>180</v>
      </c>
      <c r="E17" s="27">
        <v>-14.2763</v>
      </c>
      <c r="F17" s="27">
        <v>-170.5638</v>
      </c>
      <c r="G17" s="11" t="s">
        <v>68</v>
      </c>
      <c r="H17" s="11" t="s">
        <v>69</v>
      </c>
      <c r="I17" s="34">
        <v>18.6721830165267</v>
      </c>
      <c r="K17" s="11" t="s">
        <v>64</v>
      </c>
      <c r="L17" s="11" t="s">
        <v>64</v>
      </c>
      <c r="N17" s="11">
        <v>1.449</v>
      </c>
      <c r="O17" s="11">
        <v>1.57</v>
      </c>
      <c r="P17" s="11">
        <f t="shared" si="2"/>
        <v>-0.121</v>
      </c>
      <c r="Q17" s="11">
        <v>1.305</v>
      </c>
      <c r="R17" s="11">
        <v>1.57</v>
      </c>
      <c r="S17" s="11">
        <f t="shared" si="5"/>
        <v>-0.265</v>
      </c>
      <c r="T17" s="11">
        <v>-2.22</v>
      </c>
      <c r="U17" s="11">
        <v>-1.18</v>
      </c>
      <c r="V17" s="23">
        <f t="shared" si="3"/>
        <v>-1.04</v>
      </c>
      <c r="W17" s="24">
        <f t="shared" si="4"/>
        <v>-0.3169765315</v>
      </c>
      <c r="X17" s="11">
        <v>0.0</v>
      </c>
    </row>
    <row r="18" ht="15.75" customHeight="1">
      <c r="A18" s="21">
        <v>45799.356724537036</v>
      </c>
      <c r="B18" s="22">
        <f t="shared" si="1"/>
        <v>45798.89839</v>
      </c>
      <c r="C18" s="11" t="s">
        <v>97</v>
      </c>
      <c r="D18" s="11" t="s">
        <v>181</v>
      </c>
      <c r="E18" s="27">
        <v>-14.2763</v>
      </c>
      <c r="F18" s="27">
        <v>-170.5638</v>
      </c>
      <c r="G18" s="11" t="s">
        <v>68</v>
      </c>
      <c r="H18" s="11" t="s">
        <v>69</v>
      </c>
      <c r="I18" s="34">
        <v>34.2371058682822</v>
      </c>
      <c r="J18" s="11"/>
      <c r="K18" s="11" t="s">
        <v>65</v>
      </c>
      <c r="L18" s="11" t="s">
        <v>65</v>
      </c>
      <c r="M18" s="11" t="s">
        <v>75</v>
      </c>
      <c r="N18" s="11">
        <v>1.14</v>
      </c>
      <c r="O18" s="11">
        <v>1.5</v>
      </c>
      <c r="P18" s="11">
        <f t="shared" si="2"/>
        <v>-0.36</v>
      </c>
      <c r="Q18" s="11">
        <v>1.163</v>
      </c>
      <c r="R18" s="11">
        <v>1.51</v>
      </c>
      <c r="S18" s="11">
        <f t="shared" si="5"/>
        <v>-0.347</v>
      </c>
      <c r="T18" s="11">
        <v>-2.33</v>
      </c>
      <c r="U18" s="11">
        <v>-1.18</v>
      </c>
      <c r="V18" s="23">
        <f t="shared" si="3"/>
        <v>-1.15</v>
      </c>
      <c r="W18" s="24">
        <f t="shared" si="4"/>
        <v>-0.3505028955</v>
      </c>
      <c r="X18" s="11">
        <v>0.0</v>
      </c>
    </row>
    <row r="19" ht="15.75" customHeight="1">
      <c r="A19" s="21">
        <v>45800.409097222226</v>
      </c>
      <c r="B19" s="22">
        <f t="shared" si="1"/>
        <v>45799.95076</v>
      </c>
      <c r="C19" s="11" t="s">
        <v>97</v>
      </c>
      <c r="D19" s="11" t="s">
        <v>182</v>
      </c>
      <c r="E19" s="27">
        <v>-14.2763</v>
      </c>
      <c r="F19" s="27">
        <v>-170.5638</v>
      </c>
      <c r="G19" s="11" t="s">
        <v>68</v>
      </c>
      <c r="H19" s="11" t="s">
        <v>69</v>
      </c>
      <c r="I19" s="34">
        <v>20.9489020612774</v>
      </c>
      <c r="J19" s="11"/>
      <c r="K19" s="11" t="s">
        <v>65</v>
      </c>
      <c r="L19" s="11" t="s">
        <v>65</v>
      </c>
      <c r="M19" s="11"/>
      <c r="N19" s="11">
        <v>1.182</v>
      </c>
      <c r="O19" s="11">
        <v>1.5</v>
      </c>
      <c r="P19" s="11">
        <f t="shared" si="2"/>
        <v>-0.318</v>
      </c>
      <c r="Q19" s="11">
        <v>1.202</v>
      </c>
      <c r="R19" s="11">
        <v>1.51</v>
      </c>
      <c r="S19" s="11">
        <f t="shared" si="5"/>
        <v>-0.308</v>
      </c>
      <c r="T19" s="11">
        <v>-2.13</v>
      </c>
      <c r="U19" s="11">
        <v>-1.18</v>
      </c>
      <c r="V19" s="23">
        <f t="shared" si="3"/>
        <v>-0.95</v>
      </c>
      <c r="W19" s="24">
        <f t="shared" si="4"/>
        <v>-0.2895458702</v>
      </c>
      <c r="X19" s="11">
        <v>0.0</v>
      </c>
    </row>
    <row r="20" ht="15.75" customHeight="1">
      <c r="A20" s="21">
        <v>45804.36734953704</v>
      </c>
      <c r="B20" s="22">
        <f t="shared" si="1"/>
        <v>45803.90902</v>
      </c>
      <c r="C20" s="11" t="s">
        <v>89</v>
      </c>
      <c r="D20" s="11" t="s">
        <v>183</v>
      </c>
      <c r="E20" s="27">
        <v>-14.2763</v>
      </c>
      <c r="F20" s="27">
        <v>-170.5638</v>
      </c>
      <c r="G20" s="11" t="s">
        <v>68</v>
      </c>
      <c r="H20" s="11" t="s">
        <v>63</v>
      </c>
      <c r="I20" s="34">
        <v>27.9077439168188</v>
      </c>
      <c r="J20" s="11"/>
      <c r="K20" s="11" t="s">
        <v>65</v>
      </c>
      <c r="L20" s="11" t="s">
        <v>65</v>
      </c>
      <c r="N20" s="11">
        <v>1.507</v>
      </c>
      <c r="O20" s="11">
        <v>1.5</v>
      </c>
      <c r="P20" s="11">
        <f t="shared" si="2"/>
        <v>0.007</v>
      </c>
      <c r="Q20" s="11">
        <v>1.515</v>
      </c>
      <c r="R20" s="11">
        <v>1.51</v>
      </c>
      <c r="S20" s="11">
        <f t="shared" si="5"/>
        <v>0.005</v>
      </c>
      <c r="T20" s="11">
        <v>-1.37</v>
      </c>
      <c r="U20" s="11">
        <v>-1.18</v>
      </c>
      <c r="V20" s="23">
        <f t="shared" si="3"/>
        <v>-0.19</v>
      </c>
      <c r="W20" s="24">
        <f t="shared" si="4"/>
        <v>-0.05790917403</v>
      </c>
      <c r="X20" s="11">
        <v>0.0</v>
      </c>
    </row>
    <row r="21" ht="15.75" customHeight="1">
      <c r="A21" s="21">
        <v>45806.41972222222</v>
      </c>
      <c r="B21" s="22">
        <f t="shared" si="1"/>
        <v>45805.96139</v>
      </c>
      <c r="C21" s="11" t="s">
        <v>184</v>
      </c>
      <c r="D21" s="26" t="s">
        <v>185</v>
      </c>
      <c r="E21" s="27">
        <v>-14.2763</v>
      </c>
      <c r="F21" s="27">
        <v>-170.5638</v>
      </c>
      <c r="G21" s="11" t="s">
        <v>68</v>
      </c>
      <c r="H21" s="11" t="s">
        <v>69</v>
      </c>
      <c r="I21" s="34">
        <v>18.208289947372</v>
      </c>
      <c r="J21" s="11"/>
      <c r="K21" s="11" t="s">
        <v>65</v>
      </c>
      <c r="L21" s="11" t="s">
        <v>65</v>
      </c>
      <c r="M21" s="12"/>
      <c r="N21" s="11">
        <v>1.604</v>
      </c>
      <c r="O21" s="11">
        <v>1.5</v>
      </c>
      <c r="P21" s="11">
        <f t="shared" si="2"/>
        <v>0.104</v>
      </c>
      <c r="Q21" s="11">
        <v>1.59</v>
      </c>
      <c r="R21" s="11">
        <v>1.51</v>
      </c>
      <c r="S21" s="11">
        <f t="shared" si="5"/>
        <v>0.08</v>
      </c>
      <c r="T21" s="11">
        <v>-0.79</v>
      </c>
      <c r="U21" s="11">
        <v>-1.18</v>
      </c>
      <c r="V21" s="23">
        <f t="shared" si="3"/>
        <v>0.39</v>
      </c>
      <c r="W21" s="24">
        <f t="shared" si="4"/>
        <v>0.1188661993</v>
      </c>
      <c r="X21" s="11">
        <v>0.0</v>
      </c>
      <c r="Y21" s="12"/>
      <c r="Z21" s="12"/>
      <c r="AA21" s="12"/>
      <c r="AB21" s="12"/>
      <c r="AC21" s="12"/>
      <c r="AD21" s="12"/>
    </row>
    <row r="22" ht="15.75" customHeight="1">
      <c r="A22" s="21">
        <v>45806.41983796296</v>
      </c>
      <c r="B22" s="22">
        <f t="shared" si="1"/>
        <v>45805.9615</v>
      </c>
      <c r="C22" s="11" t="s">
        <v>184</v>
      </c>
      <c r="D22" s="26" t="s">
        <v>186</v>
      </c>
      <c r="E22" s="27">
        <v>-14.2763</v>
      </c>
      <c r="F22" s="27">
        <v>-170.5638</v>
      </c>
      <c r="G22" s="11" t="s">
        <v>68</v>
      </c>
      <c r="H22" s="11" t="s">
        <v>69</v>
      </c>
      <c r="I22" s="34">
        <v>17.8749864071228</v>
      </c>
      <c r="J22" s="11"/>
      <c r="K22" s="11" t="s">
        <v>65</v>
      </c>
      <c r="L22" s="11" t="s">
        <v>65</v>
      </c>
      <c r="M22" s="12"/>
      <c r="N22" s="11">
        <v>1.604</v>
      </c>
      <c r="O22" s="11">
        <v>1.5</v>
      </c>
      <c r="P22" s="11">
        <f t="shared" si="2"/>
        <v>0.104</v>
      </c>
      <c r="Q22" s="11">
        <v>1.59</v>
      </c>
      <c r="R22" s="11">
        <v>1.51</v>
      </c>
      <c r="S22" s="11">
        <f t="shared" si="5"/>
        <v>0.08</v>
      </c>
      <c r="T22" s="11">
        <v>-0.79</v>
      </c>
      <c r="U22" s="11">
        <v>-1.18</v>
      </c>
      <c r="V22" s="23">
        <f t="shared" si="3"/>
        <v>0.39</v>
      </c>
      <c r="W22" s="24">
        <f t="shared" si="4"/>
        <v>0.1188661993</v>
      </c>
      <c r="X22" s="11">
        <v>0.0</v>
      </c>
      <c r="Y22" s="12"/>
      <c r="Z22" s="12"/>
      <c r="AA22" s="12"/>
      <c r="AB22" s="12"/>
      <c r="AC22" s="12"/>
      <c r="AD22" s="12"/>
    </row>
    <row r="23" ht="15.75" customHeight="1">
      <c r="A23" s="21">
        <v>45830.4218287037</v>
      </c>
      <c r="B23" s="22">
        <f t="shared" si="1"/>
        <v>45829.9635</v>
      </c>
      <c r="C23" s="11" t="s">
        <v>97</v>
      </c>
      <c r="D23" s="11" t="s">
        <v>187</v>
      </c>
      <c r="E23" s="27">
        <v>-14.2763</v>
      </c>
      <c r="F23" s="27">
        <v>-170.5638</v>
      </c>
      <c r="G23" s="11" t="s">
        <v>68</v>
      </c>
      <c r="H23" s="11" t="s">
        <v>69</v>
      </c>
      <c r="I23" s="34">
        <v>19.5508870025632</v>
      </c>
      <c r="J23" s="11"/>
      <c r="K23" s="11" t="s">
        <v>65</v>
      </c>
      <c r="L23" s="11" t="s">
        <v>65</v>
      </c>
      <c r="N23" s="11">
        <v>1.146</v>
      </c>
      <c r="O23" s="11">
        <v>1.51</v>
      </c>
      <c r="P23" s="11">
        <f t="shared" si="2"/>
        <v>-0.364</v>
      </c>
      <c r="Q23" s="11">
        <v>1.085</v>
      </c>
      <c r="R23" s="11">
        <v>1.51</v>
      </c>
      <c r="S23" s="11">
        <f t="shared" si="5"/>
        <v>-0.425</v>
      </c>
      <c r="T23" s="11">
        <v>-2.58</v>
      </c>
      <c r="U23" s="11">
        <v>-1.18</v>
      </c>
      <c r="V23" s="23">
        <f t="shared" si="3"/>
        <v>-1.4</v>
      </c>
      <c r="W23" s="24">
        <f t="shared" si="4"/>
        <v>-0.4266991771</v>
      </c>
      <c r="X23" s="11">
        <v>0.0</v>
      </c>
    </row>
    <row r="24" ht="15.75" customHeight="1">
      <c r="A24" s="21">
        <v>45831.406643518516</v>
      </c>
      <c r="B24" s="22">
        <f t="shared" si="1"/>
        <v>45830.94831</v>
      </c>
      <c r="C24" s="11" t="s">
        <v>97</v>
      </c>
      <c r="D24" s="11" t="s">
        <v>188</v>
      </c>
      <c r="E24" s="27">
        <v>-14.2763</v>
      </c>
      <c r="F24" s="27">
        <v>-170.5638</v>
      </c>
      <c r="G24" s="11" t="s">
        <v>68</v>
      </c>
      <c r="H24" s="11" t="s">
        <v>69</v>
      </c>
      <c r="I24" s="34">
        <v>34.6446291660612</v>
      </c>
      <c r="K24" s="11" t="s">
        <v>65</v>
      </c>
      <c r="L24" s="11" t="s">
        <v>65</v>
      </c>
      <c r="M24" s="11" t="s">
        <v>75</v>
      </c>
      <c r="N24" s="11">
        <v>1.07</v>
      </c>
      <c r="O24" s="11">
        <v>1.51</v>
      </c>
      <c r="P24" s="11">
        <f t="shared" si="2"/>
        <v>-0.44</v>
      </c>
      <c r="Q24" s="11">
        <v>1.041</v>
      </c>
      <c r="R24" s="11">
        <v>1.51</v>
      </c>
      <c r="S24" s="11">
        <f t="shared" si="5"/>
        <v>-0.469</v>
      </c>
      <c r="T24" s="11">
        <v>-2.78</v>
      </c>
      <c r="U24" s="11">
        <v>-1.18</v>
      </c>
      <c r="V24" s="23">
        <f t="shared" si="3"/>
        <v>-1.6</v>
      </c>
      <c r="W24" s="24">
        <f t="shared" si="4"/>
        <v>-0.4876562024</v>
      </c>
      <c r="X24" s="11">
        <v>0.0</v>
      </c>
    </row>
    <row r="25" ht="15.75" customHeight="1">
      <c r="A25" s="21">
        <v>45831.41872685185</v>
      </c>
      <c r="B25" s="22">
        <f t="shared" si="1"/>
        <v>45830.96039</v>
      </c>
      <c r="C25" s="11" t="s">
        <v>97</v>
      </c>
      <c r="D25" s="11" t="s">
        <v>189</v>
      </c>
      <c r="E25" s="27">
        <v>-14.2763</v>
      </c>
      <c r="F25" s="27">
        <v>-170.5638</v>
      </c>
      <c r="G25" s="11" t="s">
        <v>68</v>
      </c>
      <c r="H25" s="11" t="s">
        <v>69</v>
      </c>
      <c r="I25" s="34">
        <v>25.7255980814808</v>
      </c>
      <c r="J25" s="11" t="s">
        <v>152</v>
      </c>
      <c r="K25" s="11" t="s">
        <v>65</v>
      </c>
      <c r="L25" s="11" t="s">
        <v>65</v>
      </c>
      <c r="M25" s="11" t="s">
        <v>75</v>
      </c>
      <c r="N25" s="11">
        <v>1.037</v>
      </c>
      <c r="O25" s="11">
        <v>1.51</v>
      </c>
      <c r="P25" s="11">
        <f t="shared" si="2"/>
        <v>-0.473</v>
      </c>
      <c r="Q25" s="11">
        <v>1.055</v>
      </c>
      <c r="R25" s="11">
        <v>1.51</v>
      </c>
      <c r="S25" s="11">
        <f t="shared" si="5"/>
        <v>-0.455</v>
      </c>
      <c r="T25" s="11">
        <v>-2.78</v>
      </c>
      <c r="U25" s="11">
        <v>-1.18</v>
      </c>
      <c r="V25" s="23">
        <f t="shared" si="3"/>
        <v>-1.6</v>
      </c>
      <c r="W25" s="24">
        <f t="shared" si="4"/>
        <v>-0.4876562024</v>
      </c>
      <c r="X25" s="11">
        <v>0.0</v>
      </c>
    </row>
    <row r="26" ht="15.75" customHeight="1">
      <c r="A26" s="21">
        <v>45834.900729166664</v>
      </c>
      <c r="B26" s="22">
        <f t="shared" si="1"/>
        <v>45834.4424</v>
      </c>
      <c r="C26" s="11" t="s">
        <v>104</v>
      </c>
      <c r="D26" s="11" t="s">
        <v>190</v>
      </c>
      <c r="E26" s="27">
        <v>-14.2763</v>
      </c>
      <c r="F26" s="27">
        <v>-170.5638</v>
      </c>
      <c r="G26" s="11" t="s">
        <v>62</v>
      </c>
      <c r="H26" s="11" t="s">
        <v>63</v>
      </c>
      <c r="I26" s="34">
        <v>21.3823341766777</v>
      </c>
      <c r="K26" s="11" t="s">
        <v>65</v>
      </c>
      <c r="L26" s="11" t="s">
        <v>65</v>
      </c>
      <c r="M26" s="11" t="s">
        <v>75</v>
      </c>
      <c r="N26" s="11">
        <v>1.778</v>
      </c>
      <c r="O26" s="11">
        <v>1.51</v>
      </c>
      <c r="P26" s="11">
        <f t="shared" si="2"/>
        <v>0.268</v>
      </c>
      <c r="Q26" s="11">
        <v>1.736</v>
      </c>
      <c r="R26" s="11">
        <v>1.51</v>
      </c>
      <c r="S26" s="11">
        <f t="shared" si="5"/>
        <v>0.226</v>
      </c>
      <c r="T26" s="11">
        <v>-0.79</v>
      </c>
      <c r="U26" s="11">
        <v>-1.18</v>
      </c>
      <c r="V26" s="23">
        <f t="shared" si="3"/>
        <v>0.39</v>
      </c>
      <c r="W26" s="24">
        <f t="shared" si="4"/>
        <v>0.1188661993</v>
      </c>
      <c r="X26" s="11">
        <v>0.0</v>
      </c>
    </row>
    <row r="27" ht="15.75" customHeight="1">
      <c r="A27" s="21">
        <v>45836.90813657407</v>
      </c>
      <c r="B27" s="22">
        <f t="shared" si="1"/>
        <v>45836.4498</v>
      </c>
      <c r="C27" s="11" t="s">
        <v>104</v>
      </c>
      <c r="D27" s="11" t="s">
        <v>191</v>
      </c>
      <c r="E27" s="27">
        <v>-14.2763</v>
      </c>
      <c r="F27" s="27">
        <v>-170.5638</v>
      </c>
      <c r="G27" s="11" t="s">
        <v>62</v>
      </c>
      <c r="H27" s="11" t="s">
        <v>63</v>
      </c>
      <c r="I27" s="34">
        <v>32.9579320489457</v>
      </c>
      <c r="J27" s="12"/>
      <c r="K27" s="11" t="s">
        <v>65</v>
      </c>
      <c r="L27" s="11" t="s">
        <v>65</v>
      </c>
      <c r="M27" s="11" t="s">
        <v>75</v>
      </c>
      <c r="N27" s="11">
        <v>2.002</v>
      </c>
      <c r="O27" s="11">
        <v>1.51</v>
      </c>
      <c r="P27" s="11">
        <f t="shared" si="2"/>
        <v>0.492</v>
      </c>
      <c r="Q27" s="11">
        <v>1.985</v>
      </c>
      <c r="R27" s="11">
        <v>1.51</v>
      </c>
      <c r="S27" s="11">
        <f t="shared" si="5"/>
        <v>0.475</v>
      </c>
      <c r="T27" s="11">
        <v>0.23</v>
      </c>
      <c r="U27" s="11">
        <v>-1.18</v>
      </c>
      <c r="V27" s="23">
        <f t="shared" si="3"/>
        <v>1.41</v>
      </c>
      <c r="W27" s="24">
        <f t="shared" si="4"/>
        <v>0.4297470283</v>
      </c>
      <c r="X27" s="11">
        <v>0.0</v>
      </c>
      <c r="Y27" s="12"/>
      <c r="Z27" s="12"/>
      <c r="AA27" s="12"/>
      <c r="AB27" s="12"/>
      <c r="AC27" s="12"/>
      <c r="AD27" s="12"/>
    </row>
    <row r="28" ht="15.75" customHeight="1">
      <c r="A28" s="21">
        <v>45837.899409722224</v>
      </c>
      <c r="B28" s="22">
        <f t="shared" si="1"/>
        <v>45837.44108</v>
      </c>
      <c r="C28" s="11" t="s">
        <v>104</v>
      </c>
      <c r="D28" s="11" t="s">
        <v>192</v>
      </c>
      <c r="E28" s="27">
        <v>-14.2763</v>
      </c>
      <c r="F28" s="27">
        <v>-170.5638</v>
      </c>
      <c r="G28" s="11" t="s">
        <v>62</v>
      </c>
      <c r="H28" s="11" t="s">
        <v>63</v>
      </c>
      <c r="I28" s="34">
        <v>26.5532939015949</v>
      </c>
      <c r="J28" s="12"/>
      <c r="K28" s="11" t="s">
        <v>65</v>
      </c>
      <c r="L28" s="11" t="s">
        <v>65</v>
      </c>
      <c r="M28" s="11" t="s">
        <v>75</v>
      </c>
      <c r="N28" s="11">
        <v>1.966</v>
      </c>
      <c r="O28" s="11">
        <v>1.51</v>
      </c>
      <c r="P28" s="11">
        <f t="shared" si="2"/>
        <v>0.456</v>
      </c>
      <c r="Q28" s="11">
        <v>1.931</v>
      </c>
      <c r="R28" s="11">
        <v>1.51</v>
      </c>
      <c r="S28" s="11">
        <f t="shared" si="5"/>
        <v>0.421</v>
      </c>
      <c r="T28" s="11">
        <v>0.17</v>
      </c>
      <c r="U28" s="11">
        <v>-1.18</v>
      </c>
      <c r="V28" s="23">
        <f t="shared" si="3"/>
        <v>1.35</v>
      </c>
      <c r="W28" s="24">
        <f t="shared" si="4"/>
        <v>0.4114599208</v>
      </c>
      <c r="X28" s="11">
        <v>0.0</v>
      </c>
      <c r="Y28" s="12"/>
      <c r="Z28" s="12"/>
      <c r="AA28" s="12"/>
      <c r="AB28" s="12"/>
      <c r="AC28" s="12"/>
      <c r="AD28" s="12"/>
    </row>
    <row r="29" ht="15.75" customHeight="1">
      <c r="A29" s="21">
        <v>45853.4191087963</v>
      </c>
      <c r="B29" s="22">
        <f t="shared" si="1"/>
        <v>45852.96078</v>
      </c>
      <c r="C29" s="11" t="s">
        <v>104</v>
      </c>
      <c r="D29" s="26" t="s">
        <v>193</v>
      </c>
      <c r="E29" s="27">
        <v>-14.2763</v>
      </c>
      <c r="F29" s="27">
        <v>-170.5638</v>
      </c>
      <c r="G29" s="11" t="s">
        <v>68</v>
      </c>
      <c r="H29" s="11" t="s">
        <v>69</v>
      </c>
      <c r="I29" s="34">
        <v>34.0392572006527</v>
      </c>
      <c r="J29" s="35"/>
      <c r="K29" s="11" t="s">
        <v>65</v>
      </c>
      <c r="L29" s="11" t="s">
        <v>65</v>
      </c>
      <c r="M29" s="11" t="s">
        <v>75</v>
      </c>
      <c r="N29" s="1">
        <v>1.865</v>
      </c>
      <c r="O29" s="11">
        <v>1.51</v>
      </c>
      <c r="P29" s="11">
        <f t="shared" si="2"/>
        <v>0.355</v>
      </c>
      <c r="Q29" s="1">
        <v>1.877</v>
      </c>
      <c r="R29" s="11">
        <v>1.51</v>
      </c>
      <c r="S29" s="11">
        <f t="shared" si="5"/>
        <v>0.367</v>
      </c>
      <c r="T29" s="11">
        <v>0.05</v>
      </c>
      <c r="U29" s="11">
        <v>-1.18</v>
      </c>
      <c r="V29" s="23">
        <f t="shared" si="3"/>
        <v>1.23</v>
      </c>
      <c r="W29" s="24">
        <f t="shared" si="4"/>
        <v>0.3748857056</v>
      </c>
      <c r="X29" s="35"/>
      <c r="Y29" s="35"/>
    </row>
    <row r="30" ht="15.75" customHeight="1">
      <c r="I30" s="33"/>
      <c r="U30" s="11"/>
      <c r="V30" s="23"/>
      <c r="W30" s="24"/>
    </row>
    <row r="31" ht="15.75" customHeight="1">
      <c r="I31" s="33"/>
    </row>
    <row r="32" ht="15.75" customHeight="1">
      <c r="I32" s="33"/>
    </row>
    <row r="33" ht="15.75" customHeight="1">
      <c r="I33" s="33"/>
    </row>
    <row r="34" ht="15.75" customHeight="1">
      <c r="I34" s="33"/>
    </row>
    <row r="35" ht="15.75" customHeight="1">
      <c r="I35" s="33"/>
    </row>
    <row r="36" ht="15.75" customHeight="1">
      <c r="I36" s="33"/>
    </row>
    <row r="37" ht="15.75" customHeight="1">
      <c r="I37" s="33"/>
    </row>
    <row r="38" ht="15.75" customHeight="1">
      <c r="I38" s="33"/>
    </row>
    <row r="39" ht="15.75" customHeight="1">
      <c r="I39" s="33"/>
    </row>
    <row r="40" ht="15.75" customHeight="1">
      <c r="I40" s="33"/>
    </row>
    <row r="41" ht="15.75" customHeight="1">
      <c r="I41" s="33"/>
    </row>
    <row r="42" ht="15.75" customHeight="1">
      <c r="I42" s="33"/>
    </row>
    <row r="43" ht="15.75" customHeight="1">
      <c r="I43" s="33"/>
    </row>
    <row r="44" ht="15.75" customHeight="1">
      <c r="I44" s="33"/>
    </row>
    <row r="45" ht="15.75" customHeight="1">
      <c r="I45" s="33"/>
    </row>
    <row r="46" ht="15.75" customHeight="1">
      <c r="I46" s="33"/>
    </row>
    <row r="47" ht="15.75" customHeight="1">
      <c r="I47" s="33"/>
    </row>
    <row r="48" ht="15.75" customHeight="1">
      <c r="I48" s="33"/>
    </row>
    <row r="49" ht="15.75" customHeight="1">
      <c r="I49" s="33"/>
    </row>
    <row r="50" ht="15.75" customHeight="1">
      <c r="I50" s="33"/>
    </row>
    <row r="51" ht="15.75" customHeight="1">
      <c r="I51" s="33"/>
    </row>
    <row r="52" ht="15.75" customHeight="1">
      <c r="I52" s="33"/>
    </row>
    <row r="53" ht="15.75" customHeight="1">
      <c r="I53" s="33"/>
    </row>
    <row r="54" ht="15.75" customHeight="1">
      <c r="I54" s="33"/>
    </row>
    <row r="55" ht="15.75" customHeight="1">
      <c r="I55" s="33"/>
    </row>
    <row r="56" ht="15.75" customHeight="1">
      <c r="I56" s="33"/>
    </row>
    <row r="57" ht="15.75" customHeight="1">
      <c r="I57" s="33"/>
    </row>
    <row r="58" ht="15.75" customHeight="1">
      <c r="I58" s="33"/>
    </row>
    <row r="59" ht="15.75" customHeight="1">
      <c r="I59" s="33"/>
    </row>
    <row r="60" ht="15.75" customHeight="1">
      <c r="I60" s="33"/>
    </row>
    <row r="61" ht="15.75" customHeight="1">
      <c r="I61" s="33"/>
    </row>
    <row r="62" ht="15.75" customHeight="1">
      <c r="I62" s="33"/>
    </row>
    <row r="63" ht="15.75" customHeight="1">
      <c r="I63" s="33"/>
    </row>
    <row r="64" ht="15.75" customHeight="1">
      <c r="I64" s="33"/>
    </row>
    <row r="65" ht="15.75" customHeight="1">
      <c r="I65" s="33"/>
    </row>
    <row r="66" ht="15.75" customHeight="1">
      <c r="I66" s="33"/>
    </row>
    <row r="67" ht="15.75" customHeight="1">
      <c r="I67" s="33"/>
    </row>
    <row r="68" ht="15.75" customHeight="1">
      <c r="I68" s="33"/>
    </row>
    <row r="69" ht="15.75" customHeight="1">
      <c r="I69" s="33"/>
    </row>
    <row r="70" ht="15.75" customHeight="1">
      <c r="I70" s="33"/>
    </row>
    <row r="71" ht="15.75" customHeight="1">
      <c r="I71" s="33"/>
    </row>
    <row r="72" ht="15.75" customHeight="1">
      <c r="I72" s="33"/>
    </row>
    <row r="73" ht="15.75" customHeight="1">
      <c r="I73" s="33"/>
    </row>
    <row r="74" ht="15.75" customHeight="1">
      <c r="I74" s="33"/>
    </row>
    <row r="75" ht="15.75" customHeight="1">
      <c r="I75" s="33"/>
    </row>
    <row r="76" ht="15.75" customHeight="1">
      <c r="I76" s="33"/>
    </row>
    <row r="77" ht="15.75" customHeight="1">
      <c r="I77" s="33"/>
    </row>
    <row r="78" ht="15.75" customHeight="1">
      <c r="I78" s="33"/>
    </row>
    <row r="79" ht="15.75" customHeight="1">
      <c r="I79" s="33"/>
    </row>
    <row r="80" ht="15.75" customHeight="1">
      <c r="I80" s="33"/>
    </row>
    <row r="81" ht="15.75" customHeight="1">
      <c r="I81" s="33"/>
    </row>
    <row r="82" ht="15.75" customHeight="1">
      <c r="I82" s="33"/>
    </row>
    <row r="83" ht="15.75" customHeight="1">
      <c r="I83" s="33"/>
    </row>
    <row r="84" ht="15.75" customHeight="1">
      <c r="I84" s="33"/>
    </row>
    <row r="85" ht="15.75" customHeight="1">
      <c r="I85" s="33"/>
    </row>
    <row r="86" ht="15.75" customHeight="1">
      <c r="I86" s="33"/>
    </row>
    <row r="87" ht="15.75" customHeight="1">
      <c r="I87" s="33"/>
    </row>
    <row r="88" ht="15.75" customHeight="1">
      <c r="I88" s="33"/>
    </row>
    <row r="89" ht="15.75" customHeight="1">
      <c r="I89" s="33"/>
    </row>
    <row r="90" ht="15.75" customHeight="1">
      <c r="I90" s="33"/>
    </row>
    <row r="91" ht="15.75" customHeight="1">
      <c r="I91" s="33"/>
    </row>
    <row r="92" ht="15.75" customHeight="1">
      <c r="I92" s="33"/>
    </row>
    <row r="93" ht="15.75" customHeight="1">
      <c r="I93" s="33"/>
    </row>
    <row r="94" ht="15.75" customHeight="1">
      <c r="I94" s="33"/>
    </row>
    <row r="95" ht="15.75" customHeight="1">
      <c r="I95" s="33"/>
    </row>
    <row r="96" ht="15.75" customHeight="1">
      <c r="I96" s="33"/>
    </row>
    <row r="97" ht="15.75" customHeight="1">
      <c r="I97" s="33"/>
    </row>
    <row r="98" ht="15.75" customHeight="1">
      <c r="I98" s="33"/>
    </row>
    <row r="99" ht="15.75" customHeight="1">
      <c r="I99" s="33"/>
    </row>
    <row r="100" ht="15.75" customHeight="1">
      <c r="I100" s="33"/>
    </row>
    <row r="101" ht="15.75" customHeight="1">
      <c r="I101" s="33"/>
    </row>
    <row r="102" ht="15.75" customHeight="1">
      <c r="I102" s="33"/>
    </row>
    <row r="103" ht="15.75" customHeight="1">
      <c r="I103" s="33"/>
    </row>
    <row r="104" ht="15.75" customHeight="1">
      <c r="I104" s="33"/>
    </row>
    <row r="105" ht="15.75" customHeight="1">
      <c r="I105" s="33"/>
    </row>
    <row r="106" ht="15.75" customHeight="1">
      <c r="I106" s="33"/>
    </row>
    <row r="107" ht="15.75" customHeight="1">
      <c r="I107" s="33"/>
    </row>
    <row r="108" ht="15.75" customHeight="1">
      <c r="I108" s="33"/>
    </row>
    <row r="109" ht="15.75" customHeight="1">
      <c r="I109" s="33"/>
    </row>
    <row r="110" ht="15.75" customHeight="1">
      <c r="I110" s="33"/>
    </row>
    <row r="111" ht="15.75" customHeight="1">
      <c r="I111" s="33"/>
    </row>
    <row r="112" ht="15.75" customHeight="1">
      <c r="I112" s="33"/>
    </row>
    <row r="113" ht="15.75" customHeight="1">
      <c r="I113" s="33"/>
    </row>
    <row r="114" ht="15.75" customHeight="1">
      <c r="I114" s="33"/>
    </row>
    <row r="115" ht="15.75" customHeight="1">
      <c r="I115" s="33"/>
    </row>
    <row r="116" ht="15.75" customHeight="1">
      <c r="I116" s="33"/>
    </row>
    <row r="117" ht="15.75" customHeight="1">
      <c r="I117" s="33"/>
    </row>
    <row r="118" ht="15.75" customHeight="1">
      <c r="I118" s="33"/>
    </row>
    <row r="119" ht="15.75" customHeight="1">
      <c r="I119" s="33"/>
    </row>
    <row r="120" ht="15.75" customHeight="1">
      <c r="I120" s="33"/>
    </row>
    <row r="121" ht="15.75" customHeight="1">
      <c r="I121" s="33"/>
    </row>
    <row r="122" ht="15.75" customHeight="1">
      <c r="I122" s="33"/>
    </row>
    <row r="123" ht="15.75" customHeight="1">
      <c r="I123" s="33"/>
    </row>
    <row r="124" ht="15.75" customHeight="1">
      <c r="I124" s="33"/>
    </row>
    <row r="125" ht="15.75" customHeight="1">
      <c r="I125" s="33"/>
    </row>
    <row r="126" ht="15.75" customHeight="1">
      <c r="I126" s="33"/>
    </row>
    <row r="127" ht="15.75" customHeight="1">
      <c r="I127" s="33"/>
    </row>
    <row r="128" ht="15.75" customHeight="1">
      <c r="I128" s="33"/>
    </row>
    <row r="129" ht="15.75" customHeight="1">
      <c r="I129" s="33"/>
    </row>
    <row r="130" ht="15.75" customHeight="1">
      <c r="I130" s="33"/>
    </row>
    <row r="131" ht="15.75" customHeight="1">
      <c r="I131" s="33"/>
    </row>
    <row r="132" ht="15.75" customHeight="1">
      <c r="I132" s="33"/>
    </row>
    <row r="133" ht="15.75" customHeight="1">
      <c r="I133" s="33"/>
    </row>
    <row r="134" ht="15.75" customHeight="1">
      <c r="I134" s="33"/>
    </row>
    <row r="135" ht="15.75" customHeight="1">
      <c r="I135" s="33"/>
    </row>
    <row r="136" ht="15.75" customHeight="1">
      <c r="I136" s="33"/>
    </row>
    <row r="137" ht="15.75" customHeight="1">
      <c r="I137" s="33"/>
    </row>
    <row r="138" ht="15.75" customHeight="1">
      <c r="I138" s="33"/>
    </row>
    <row r="139" ht="15.75" customHeight="1">
      <c r="I139" s="33"/>
    </row>
    <row r="140" ht="15.75" customHeight="1">
      <c r="I140" s="33"/>
    </row>
    <row r="141" ht="15.75" customHeight="1">
      <c r="I141" s="33"/>
    </row>
    <row r="142" ht="15.75" customHeight="1">
      <c r="I142" s="33"/>
    </row>
    <row r="143" ht="15.75" customHeight="1">
      <c r="I143" s="33"/>
    </row>
    <row r="144" ht="15.75" customHeight="1">
      <c r="I144" s="33"/>
    </row>
    <row r="145" ht="15.75" customHeight="1">
      <c r="I145" s="33"/>
    </row>
    <row r="146" ht="15.75" customHeight="1">
      <c r="I146" s="33"/>
    </row>
    <row r="147" ht="15.75" customHeight="1">
      <c r="I147" s="33"/>
    </row>
    <row r="148" ht="15.75" customHeight="1">
      <c r="I148" s="33"/>
    </row>
    <row r="149" ht="15.75" customHeight="1">
      <c r="I149" s="33"/>
    </row>
    <row r="150" ht="15.75" customHeight="1">
      <c r="I150" s="33"/>
    </row>
    <row r="151" ht="15.75" customHeight="1">
      <c r="I151" s="33"/>
    </row>
    <row r="152" ht="15.75" customHeight="1">
      <c r="I152" s="33"/>
    </row>
    <row r="153" ht="15.75" customHeight="1">
      <c r="I153" s="33"/>
    </row>
    <row r="154" ht="15.75" customHeight="1">
      <c r="I154" s="33"/>
    </row>
    <row r="155" ht="15.75" customHeight="1">
      <c r="I155" s="33"/>
    </row>
    <row r="156" ht="15.75" customHeight="1">
      <c r="I156" s="33"/>
    </row>
    <row r="157" ht="15.75" customHeight="1">
      <c r="I157" s="33"/>
    </row>
    <row r="158" ht="15.75" customHeight="1">
      <c r="I158" s="33"/>
    </row>
    <row r="159" ht="15.75" customHeight="1">
      <c r="I159" s="33"/>
    </row>
    <row r="160" ht="15.75" customHeight="1">
      <c r="I160" s="33"/>
    </row>
    <row r="161" ht="15.75" customHeight="1">
      <c r="I161" s="33"/>
    </row>
    <row r="162" ht="15.75" customHeight="1">
      <c r="I162" s="33"/>
    </row>
    <row r="163" ht="15.75" customHeight="1">
      <c r="I163" s="33"/>
    </row>
    <row r="164" ht="15.75" customHeight="1">
      <c r="I164" s="33"/>
    </row>
    <row r="165" ht="15.75" customHeight="1">
      <c r="I165" s="33"/>
    </row>
    <row r="166" ht="15.75" customHeight="1">
      <c r="I166" s="33"/>
    </row>
    <row r="167" ht="15.75" customHeight="1">
      <c r="I167" s="33"/>
    </row>
    <row r="168" ht="15.75" customHeight="1">
      <c r="I168" s="33"/>
    </row>
    <row r="169" ht="15.75" customHeight="1">
      <c r="I169" s="33"/>
    </row>
    <row r="170" ht="15.75" customHeight="1">
      <c r="I170" s="33"/>
    </row>
    <row r="171" ht="15.75" customHeight="1">
      <c r="I171" s="33"/>
    </row>
    <row r="172" ht="15.75" customHeight="1">
      <c r="I172" s="33"/>
    </row>
    <row r="173" ht="15.75" customHeight="1">
      <c r="I173" s="33"/>
    </row>
    <row r="174" ht="15.75" customHeight="1">
      <c r="I174" s="33"/>
    </row>
    <row r="175" ht="15.75" customHeight="1">
      <c r="I175" s="33"/>
    </row>
    <row r="176" ht="15.75" customHeight="1">
      <c r="I176" s="33"/>
    </row>
    <row r="177" ht="15.75" customHeight="1">
      <c r="I177" s="33"/>
    </row>
    <row r="178" ht="15.75" customHeight="1">
      <c r="I178" s="33"/>
    </row>
    <row r="179" ht="15.75" customHeight="1">
      <c r="I179" s="33"/>
    </row>
    <row r="180" ht="15.75" customHeight="1">
      <c r="I180" s="33"/>
    </row>
    <row r="181" ht="15.75" customHeight="1">
      <c r="I181" s="33"/>
    </row>
    <row r="182" ht="15.75" customHeight="1">
      <c r="I182" s="33"/>
    </row>
    <row r="183" ht="15.75" customHeight="1">
      <c r="I183" s="33"/>
    </row>
    <row r="184" ht="15.75" customHeight="1">
      <c r="I184" s="33"/>
    </row>
    <row r="185" ht="15.75" customHeight="1">
      <c r="I185" s="33"/>
    </row>
    <row r="186" ht="15.75" customHeight="1">
      <c r="I186" s="33"/>
    </row>
    <row r="187" ht="15.75" customHeight="1">
      <c r="I187" s="33"/>
    </row>
    <row r="188" ht="15.75" customHeight="1">
      <c r="I188" s="33"/>
    </row>
    <row r="189" ht="15.75" customHeight="1">
      <c r="I189" s="33"/>
    </row>
    <row r="190" ht="15.75" customHeight="1">
      <c r="I190" s="33"/>
    </row>
    <row r="191" ht="15.75" customHeight="1">
      <c r="I191" s="33"/>
    </row>
    <row r="192" ht="15.75" customHeight="1">
      <c r="I192" s="33"/>
    </row>
    <row r="193" ht="15.75" customHeight="1">
      <c r="I193" s="33"/>
    </row>
    <row r="194" ht="15.75" customHeight="1">
      <c r="I194" s="33"/>
    </row>
    <row r="195" ht="15.75" customHeight="1">
      <c r="I195" s="33"/>
    </row>
    <row r="196" ht="15.75" customHeight="1">
      <c r="I196" s="33"/>
    </row>
    <row r="197" ht="15.75" customHeight="1">
      <c r="I197" s="33"/>
    </row>
    <row r="198" ht="15.75" customHeight="1">
      <c r="I198" s="33"/>
    </row>
    <row r="199" ht="15.75" customHeight="1">
      <c r="I199" s="33"/>
    </row>
    <row r="200" ht="15.75" customHeight="1">
      <c r="I200" s="33"/>
    </row>
    <row r="201" ht="15.75" customHeight="1">
      <c r="I201" s="33"/>
    </row>
    <row r="202" ht="15.75" customHeight="1">
      <c r="I202" s="33"/>
    </row>
    <row r="203" ht="15.75" customHeight="1">
      <c r="I203" s="33"/>
    </row>
    <row r="204" ht="15.75" customHeight="1">
      <c r="I204" s="33"/>
    </row>
    <row r="205" ht="15.75" customHeight="1">
      <c r="I205" s="33"/>
    </row>
    <row r="206" ht="15.75" customHeight="1">
      <c r="I206" s="33"/>
    </row>
    <row r="207" ht="15.75" customHeight="1">
      <c r="I207" s="33"/>
    </row>
    <row r="208" ht="15.75" customHeight="1">
      <c r="I208" s="33"/>
    </row>
    <row r="209" ht="15.75" customHeight="1">
      <c r="I209" s="33"/>
    </row>
    <row r="210" ht="15.75" customHeight="1">
      <c r="I210" s="33"/>
    </row>
    <row r="211" ht="15.75" customHeight="1">
      <c r="I211" s="33"/>
    </row>
    <row r="212" ht="15.75" customHeight="1">
      <c r="I212" s="33"/>
    </row>
    <row r="213" ht="15.75" customHeight="1">
      <c r="I213" s="33"/>
    </row>
    <row r="214" ht="15.75" customHeight="1">
      <c r="I214" s="33"/>
    </row>
    <row r="215" ht="15.75" customHeight="1">
      <c r="I215" s="33"/>
    </row>
    <row r="216" ht="15.75" customHeight="1">
      <c r="I216" s="33"/>
    </row>
    <row r="217" ht="15.75" customHeight="1">
      <c r="I217" s="33"/>
    </row>
    <row r="218" ht="15.75" customHeight="1">
      <c r="I218" s="33"/>
    </row>
    <row r="219" ht="15.75" customHeight="1">
      <c r="I219" s="33"/>
    </row>
    <row r="220" ht="15.75" customHeight="1">
      <c r="I220" s="33"/>
    </row>
    <row r="221" ht="15.75" customHeight="1">
      <c r="I221" s="33"/>
    </row>
    <row r="222" ht="15.75" customHeight="1">
      <c r="I222" s="33"/>
    </row>
    <row r="223" ht="15.75" customHeight="1">
      <c r="I223" s="33"/>
    </row>
    <row r="224" ht="15.75" customHeight="1">
      <c r="I224" s="33"/>
    </row>
    <row r="225" ht="15.75" customHeight="1">
      <c r="I225" s="33"/>
    </row>
    <row r="226" ht="15.75" customHeight="1">
      <c r="I226" s="33"/>
    </row>
    <row r="227" ht="15.75" customHeight="1">
      <c r="I227" s="33"/>
    </row>
    <row r="228" ht="15.75" customHeight="1">
      <c r="I228" s="33"/>
    </row>
    <row r="229" ht="15.75" customHeight="1">
      <c r="I229" s="33"/>
    </row>
    <row r="230" ht="15.75" customHeight="1">
      <c r="I230" s="33"/>
    </row>
    <row r="231" ht="15.75" customHeight="1">
      <c r="I231" s="33"/>
    </row>
    <row r="232" ht="15.75" customHeight="1">
      <c r="I232" s="33"/>
    </row>
    <row r="233" ht="15.75" customHeight="1">
      <c r="I233" s="33"/>
    </row>
    <row r="234" ht="15.75" customHeight="1">
      <c r="I234" s="33"/>
    </row>
    <row r="235" ht="15.75" customHeight="1">
      <c r="I235" s="33"/>
    </row>
    <row r="236" ht="15.75" customHeight="1">
      <c r="I236" s="33"/>
    </row>
    <row r="237" ht="15.75" customHeight="1">
      <c r="I237" s="33"/>
    </row>
    <row r="238" ht="15.75" customHeight="1">
      <c r="I238" s="33"/>
    </row>
    <row r="239" ht="15.75" customHeight="1">
      <c r="I239" s="33"/>
    </row>
    <row r="240" ht="15.75" customHeight="1">
      <c r="I240" s="33"/>
    </row>
    <row r="241" ht="15.75" customHeight="1">
      <c r="I241" s="33"/>
    </row>
    <row r="242" ht="15.75" customHeight="1">
      <c r="I242" s="33"/>
    </row>
    <row r="243" ht="15.75" customHeight="1">
      <c r="I243" s="33"/>
    </row>
    <row r="244" ht="15.75" customHeight="1">
      <c r="I244" s="33"/>
    </row>
    <row r="245" ht="15.75" customHeight="1">
      <c r="I245" s="33"/>
    </row>
    <row r="246" ht="15.75" customHeight="1">
      <c r="I246" s="33"/>
    </row>
    <row r="247" ht="15.75" customHeight="1">
      <c r="I247" s="33"/>
    </row>
    <row r="248" ht="15.75" customHeight="1">
      <c r="I248" s="33"/>
    </row>
    <row r="249" ht="15.75" customHeight="1">
      <c r="I249" s="33"/>
    </row>
    <row r="250" ht="15.75" customHeight="1">
      <c r="I250" s="33"/>
    </row>
    <row r="251" ht="15.75" customHeight="1">
      <c r="I251" s="33"/>
    </row>
    <row r="252" ht="15.75" customHeight="1">
      <c r="I252" s="33"/>
    </row>
    <row r="253" ht="15.75" customHeight="1">
      <c r="I253" s="33"/>
    </row>
    <row r="254" ht="15.75" customHeight="1">
      <c r="I254" s="33"/>
    </row>
    <row r="255" ht="15.75" customHeight="1">
      <c r="I255" s="33"/>
    </row>
    <row r="256" ht="15.75" customHeight="1">
      <c r="I256" s="33"/>
    </row>
    <row r="257" ht="15.75" customHeight="1">
      <c r="I257" s="33"/>
    </row>
    <row r="258" ht="15.75" customHeight="1">
      <c r="I258" s="33"/>
    </row>
    <row r="259" ht="15.75" customHeight="1">
      <c r="I259" s="33"/>
    </row>
    <row r="260" ht="15.75" customHeight="1">
      <c r="I260" s="33"/>
    </row>
    <row r="261" ht="15.75" customHeight="1">
      <c r="I261" s="33"/>
    </row>
    <row r="262" ht="15.75" customHeight="1">
      <c r="I262" s="33"/>
    </row>
    <row r="263" ht="15.75" customHeight="1">
      <c r="I263" s="33"/>
    </row>
    <row r="264" ht="15.75" customHeight="1">
      <c r="I264" s="33"/>
    </row>
    <row r="265" ht="15.75" customHeight="1">
      <c r="I265" s="33"/>
    </row>
    <row r="266" ht="15.75" customHeight="1">
      <c r="I266" s="33"/>
    </row>
    <row r="267" ht="15.75" customHeight="1">
      <c r="I267" s="33"/>
    </row>
    <row r="268" ht="15.75" customHeight="1">
      <c r="I268" s="33"/>
    </row>
    <row r="269" ht="15.75" customHeight="1">
      <c r="I269" s="33"/>
    </row>
    <row r="270" ht="15.75" customHeight="1">
      <c r="I270" s="33"/>
    </row>
    <row r="271" ht="15.75" customHeight="1">
      <c r="I271" s="33"/>
    </row>
    <row r="272" ht="15.75" customHeight="1">
      <c r="I272" s="33"/>
    </row>
    <row r="273" ht="15.75" customHeight="1">
      <c r="I273" s="33"/>
    </row>
    <row r="274" ht="15.75" customHeight="1">
      <c r="I274" s="33"/>
    </row>
    <row r="275" ht="15.75" customHeight="1">
      <c r="I275" s="33"/>
    </row>
    <row r="276" ht="15.75" customHeight="1">
      <c r="I276" s="33"/>
    </row>
    <row r="277" ht="15.75" customHeight="1">
      <c r="I277" s="33"/>
    </row>
    <row r="278" ht="15.75" customHeight="1">
      <c r="I278" s="33"/>
    </row>
    <row r="279" ht="15.75" customHeight="1">
      <c r="I279" s="33"/>
    </row>
    <row r="280" ht="15.75" customHeight="1">
      <c r="I280" s="33"/>
    </row>
    <row r="281" ht="15.75" customHeight="1">
      <c r="I281" s="33"/>
    </row>
    <row r="282" ht="15.75" customHeight="1">
      <c r="I282" s="33"/>
    </row>
    <row r="283" ht="15.75" customHeight="1">
      <c r="I283" s="33"/>
    </row>
    <row r="284" ht="15.75" customHeight="1">
      <c r="I284" s="33"/>
    </row>
    <row r="285" ht="15.75" customHeight="1">
      <c r="I285" s="33"/>
    </row>
    <row r="286" ht="15.75" customHeight="1">
      <c r="I286" s="33"/>
    </row>
    <row r="287" ht="15.75" customHeight="1">
      <c r="I287" s="33"/>
    </row>
    <row r="288" ht="15.75" customHeight="1">
      <c r="I288" s="33"/>
    </row>
    <row r="289" ht="15.75" customHeight="1">
      <c r="I289" s="33"/>
    </row>
    <row r="290" ht="15.75" customHeight="1">
      <c r="I290" s="33"/>
    </row>
    <row r="291" ht="15.75" customHeight="1">
      <c r="I291" s="33"/>
    </row>
    <row r="292" ht="15.75" customHeight="1">
      <c r="I292" s="33"/>
    </row>
    <row r="293" ht="15.75" customHeight="1">
      <c r="I293" s="33"/>
    </row>
    <row r="294" ht="15.75" customHeight="1">
      <c r="I294" s="33"/>
    </row>
    <row r="295" ht="15.75" customHeight="1">
      <c r="I295" s="33"/>
    </row>
    <row r="296" ht="15.75" customHeight="1">
      <c r="I296" s="33"/>
    </row>
    <row r="297" ht="15.75" customHeight="1">
      <c r="I297" s="33"/>
    </row>
    <row r="298" ht="15.75" customHeight="1">
      <c r="I298" s="33"/>
    </row>
    <row r="299" ht="15.75" customHeight="1">
      <c r="I299" s="33"/>
    </row>
    <row r="300" ht="15.75" customHeight="1">
      <c r="I300" s="33"/>
    </row>
    <row r="301" ht="15.75" customHeight="1">
      <c r="I301" s="33"/>
    </row>
    <row r="302" ht="15.75" customHeight="1">
      <c r="I302" s="33"/>
    </row>
    <row r="303" ht="15.75" customHeight="1">
      <c r="I303" s="33"/>
    </row>
    <row r="304" ht="15.75" customHeight="1">
      <c r="I304" s="33"/>
    </row>
    <row r="305" ht="15.75" customHeight="1">
      <c r="I305" s="33"/>
    </row>
    <row r="306" ht="15.75" customHeight="1">
      <c r="I306" s="33"/>
    </row>
    <row r="307" ht="15.75" customHeight="1">
      <c r="I307" s="33"/>
    </row>
    <row r="308" ht="15.75" customHeight="1">
      <c r="I308" s="33"/>
    </row>
    <row r="309" ht="15.75" customHeight="1">
      <c r="I309" s="33"/>
    </row>
    <row r="310" ht="15.75" customHeight="1">
      <c r="I310" s="33"/>
    </row>
    <row r="311" ht="15.75" customHeight="1">
      <c r="I311" s="33"/>
    </row>
    <row r="312" ht="15.75" customHeight="1">
      <c r="I312" s="33"/>
    </row>
    <row r="313" ht="15.75" customHeight="1">
      <c r="I313" s="33"/>
    </row>
    <row r="314" ht="15.75" customHeight="1">
      <c r="I314" s="33"/>
    </row>
    <row r="315" ht="15.75" customHeight="1">
      <c r="I315" s="33"/>
    </row>
    <row r="316" ht="15.75" customHeight="1">
      <c r="I316" s="33"/>
    </row>
    <row r="317" ht="15.75" customHeight="1">
      <c r="I317" s="33"/>
    </row>
    <row r="318" ht="15.75" customHeight="1">
      <c r="I318" s="33"/>
    </row>
    <row r="319" ht="15.75" customHeight="1">
      <c r="I319" s="33"/>
    </row>
    <row r="320" ht="15.75" customHeight="1">
      <c r="I320" s="33"/>
    </row>
    <row r="321" ht="15.75" customHeight="1">
      <c r="I321" s="33"/>
    </row>
    <row r="322" ht="15.75" customHeight="1">
      <c r="I322" s="33"/>
    </row>
    <row r="323" ht="15.75" customHeight="1">
      <c r="I323" s="33"/>
    </row>
    <row r="324" ht="15.75" customHeight="1">
      <c r="I324" s="33"/>
    </row>
    <row r="325" ht="15.75" customHeight="1">
      <c r="I325" s="33"/>
    </row>
    <row r="326" ht="15.75" customHeight="1">
      <c r="I326" s="33"/>
    </row>
    <row r="327" ht="15.75" customHeight="1">
      <c r="I327" s="33"/>
    </row>
    <row r="328" ht="15.75" customHeight="1">
      <c r="I328" s="33"/>
    </row>
    <row r="329" ht="15.75" customHeight="1">
      <c r="I329" s="33"/>
    </row>
    <row r="330" ht="15.75" customHeight="1">
      <c r="I330" s="33"/>
    </row>
    <row r="331" ht="15.75" customHeight="1">
      <c r="I331" s="33"/>
    </row>
    <row r="332" ht="15.75" customHeight="1">
      <c r="I332" s="33"/>
    </row>
    <row r="333" ht="15.75" customHeight="1">
      <c r="I333" s="33"/>
    </row>
    <row r="334" ht="15.75" customHeight="1">
      <c r="I334" s="33"/>
    </row>
    <row r="335" ht="15.75" customHeight="1">
      <c r="I335" s="33"/>
    </row>
    <row r="336" ht="15.75" customHeight="1">
      <c r="I336" s="33"/>
    </row>
    <row r="337" ht="15.75" customHeight="1">
      <c r="I337" s="33"/>
    </row>
    <row r="338" ht="15.75" customHeight="1">
      <c r="I338" s="33"/>
    </row>
    <row r="339" ht="15.75" customHeight="1">
      <c r="I339" s="33"/>
    </row>
    <row r="340" ht="15.75" customHeight="1">
      <c r="I340" s="33"/>
    </row>
    <row r="341" ht="15.75" customHeight="1">
      <c r="I341" s="33"/>
    </row>
    <row r="342" ht="15.75" customHeight="1">
      <c r="I342" s="33"/>
    </row>
    <row r="343" ht="15.75" customHeight="1">
      <c r="I343" s="33"/>
    </row>
    <row r="344" ht="15.75" customHeight="1">
      <c r="I344" s="33"/>
    </row>
    <row r="345" ht="15.75" customHeight="1">
      <c r="I345" s="33"/>
    </row>
    <row r="346" ht="15.75" customHeight="1">
      <c r="I346" s="33"/>
    </row>
    <row r="347" ht="15.75" customHeight="1">
      <c r="I347" s="33"/>
    </row>
    <row r="348" ht="15.75" customHeight="1">
      <c r="I348" s="33"/>
    </row>
    <row r="349" ht="15.75" customHeight="1">
      <c r="I349" s="33"/>
    </row>
    <row r="350" ht="15.75" customHeight="1">
      <c r="I350" s="33"/>
    </row>
    <row r="351" ht="15.75" customHeight="1">
      <c r="I351" s="33"/>
    </row>
    <row r="352" ht="15.75" customHeight="1">
      <c r="I352" s="33"/>
    </row>
    <row r="353" ht="15.75" customHeight="1">
      <c r="I353" s="33"/>
    </row>
    <row r="354" ht="15.75" customHeight="1">
      <c r="I354" s="33"/>
    </row>
    <row r="355" ht="15.75" customHeight="1">
      <c r="I355" s="33"/>
    </row>
    <row r="356" ht="15.75" customHeight="1">
      <c r="I356" s="33"/>
    </row>
    <row r="357" ht="15.75" customHeight="1">
      <c r="I357" s="33"/>
    </row>
    <row r="358" ht="15.75" customHeight="1">
      <c r="I358" s="33"/>
    </row>
    <row r="359" ht="15.75" customHeight="1">
      <c r="I359" s="33"/>
    </row>
    <row r="360" ht="15.75" customHeight="1">
      <c r="I360" s="33"/>
    </row>
    <row r="361" ht="15.75" customHeight="1">
      <c r="I361" s="33"/>
    </row>
    <row r="362" ht="15.75" customHeight="1">
      <c r="I362" s="33"/>
    </row>
    <row r="363" ht="15.75" customHeight="1">
      <c r="I363" s="33"/>
    </row>
    <row r="364" ht="15.75" customHeight="1">
      <c r="I364" s="33"/>
    </row>
    <row r="365" ht="15.75" customHeight="1">
      <c r="I365" s="33"/>
    </row>
    <row r="366" ht="15.75" customHeight="1">
      <c r="I366" s="33"/>
    </row>
    <row r="367" ht="15.75" customHeight="1">
      <c r="I367" s="33"/>
    </row>
    <row r="368" ht="15.75" customHeight="1">
      <c r="I368" s="33"/>
    </row>
    <row r="369" ht="15.75" customHeight="1">
      <c r="I369" s="33"/>
    </row>
    <row r="370" ht="15.75" customHeight="1">
      <c r="I370" s="33"/>
    </row>
    <row r="371" ht="15.75" customHeight="1">
      <c r="I371" s="33"/>
    </row>
    <row r="372" ht="15.75" customHeight="1">
      <c r="I372" s="33"/>
    </row>
    <row r="373" ht="15.75" customHeight="1">
      <c r="I373" s="33"/>
    </row>
    <row r="374" ht="15.75" customHeight="1">
      <c r="I374" s="33"/>
    </row>
    <row r="375" ht="15.75" customHeight="1">
      <c r="I375" s="33"/>
    </row>
    <row r="376" ht="15.75" customHeight="1">
      <c r="I376" s="33"/>
    </row>
    <row r="377" ht="15.75" customHeight="1">
      <c r="I377" s="33"/>
    </row>
    <row r="378" ht="15.75" customHeight="1">
      <c r="I378" s="33"/>
    </row>
    <row r="379" ht="15.75" customHeight="1">
      <c r="I379" s="33"/>
    </row>
    <row r="380" ht="15.75" customHeight="1">
      <c r="I380" s="33"/>
    </row>
    <row r="381" ht="15.75" customHeight="1">
      <c r="I381" s="33"/>
    </row>
    <row r="382" ht="15.75" customHeight="1">
      <c r="I382" s="33"/>
    </row>
    <row r="383" ht="15.75" customHeight="1">
      <c r="I383" s="33"/>
    </row>
    <row r="384" ht="15.75" customHeight="1">
      <c r="I384" s="33"/>
    </row>
    <row r="385" ht="15.75" customHeight="1">
      <c r="I385" s="33"/>
    </row>
    <row r="386" ht="15.75" customHeight="1">
      <c r="I386" s="33"/>
    </row>
    <row r="387" ht="15.75" customHeight="1">
      <c r="I387" s="33"/>
    </row>
    <row r="388" ht="15.75" customHeight="1">
      <c r="I388" s="33"/>
    </row>
    <row r="389" ht="15.75" customHeight="1">
      <c r="I389" s="33"/>
    </row>
    <row r="390" ht="15.75" customHeight="1">
      <c r="I390" s="33"/>
    </row>
    <row r="391" ht="15.75" customHeight="1">
      <c r="I391" s="33"/>
    </row>
    <row r="392" ht="15.75" customHeight="1">
      <c r="I392" s="33"/>
    </row>
    <row r="393" ht="15.75" customHeight="1">
      <c r="I393" s="33"/>
    </row>
    <row r="394" ht="15.75" customHeight="1">
      <c r="I394" s="33"/>
    </row>
    <row r="395" ht="15.75" customHeight="1">
      <c r="I395" s="33"/>
    </row>
    <row r="396" ht="15.75" customHeight="1">
      <c r="I396" s="33"/>
    </row>
    <row r="397" ht="15.75" customHeight="1">
      <c r="I397" s="33"/>
    </row>
    <row r="398" ht="15.75" customHeight="1">
      <c r="I398" s="33"/>
    </row>
    <row r="399" ht="15.75" customHeight="1">
      <c r="I399" s="33"/>
    </row>
    <row r="400" ht="15.75" customHeight="1">
      <c r="I400" s="33"/>
    </row>
    <row r="401" ht="15.75" customHeight="1">
      <c r="I401" s="33"/>
    </row>
    <row r="402" ht="15.75" customHeight="1">
      <c r="I402" s="33"/>
    </row>
    <row r="403" ht="15.75" customHeight="1">
      <c r="I403" s="33"/>
    </row>
    <row r="404" ht="15.75" customHeight="1">
      <c r="I404" s="33"/>
    </row>
    <row r="405" ht="15.75" customHeight="1">
      <c r="I405" s="33"/>
    </row>
    <row r="406" ht="15.75" customHeight="1">
      <c r="I406" s="33"/>
    </row>
    <row r="407" ht="15.75" customHeight="1">
      <c r="I407" s="33"/>
    </row>
    <row r="408" ht="15.75" customHeight="1">
      <c r="I408" s="33"/>
    </row>
    <row r="409" ht="15.75" customHeight="1">
      <c r="I409" s="33"/>
    </row>
    <row r="410" ht="15.75" customHeight="1">
      <c r="I410" s="33"/>
    </row>
    <row r="411" ht="15.75" customHeight="1">
      <c r="I411" s="33"/>
    </row>
    <row r="412" ht="15.75" customHeight="1">
      <c r="I412" s="33"/>
    </row>
    <row r="413" ht="15.75" customHeight="1">
      <c r="I413" s="33"/>
    </row>
    <row r="414" ht="15.75" customHeight="1">
      <c r="I414" s="33"/>
    </row>
    <row r="415" ht="15.75" customHeight="1">
      <c r="I415" s="33"/>
    </row>
    <row r="416" ht="15.75" customHeight="1">
      <c r="I416" s="33"/>
    </row>
    <row r="417" ht="15.75" customHeight="1">
      <c r="I417" s="33"/>
    </row>
    <row r="418" ht="15.75" customHeight="1">
      <c r="I418" s="33"/>
    </row>
    <row r="419" ht="15.75" customHeight="1">
      <c r="I419" s="33"/>
    </row>
    <row r="420" ht="15.75" customHeight="1">
      <c r="I420" s="33"/>
    </row>
    <row r="421" ht="15.75" customHeight="1">
      <c r="I421" s="33"/>
    </row>
    <row r="422" ht="15.75" customHeight="1">
      <c r="I422" s="33"/>
    </row>
    <row r="423" ht="15.75" customHeight="1">
      <c r="I423" s="33"/>
    </row>
    <row r="424" ht="15.75" customHeight="1">
      <c r="I424" s="33"/>
    </row>
    <row r="425" ht="15.75" customHeight="1">
      <c r="I425" s="33"/>
    </row>
    <row r="426" ht="15.75" customHeight="1">
      <c r="I426" s="33"/>
    </row>
    <row r="427" ht="15.75" customHeight="1">
      <c r="I427" s="33"/>
    </row>
    <row r="428" ht="15.75" customHeight="1">
      <c r="I428" s="33"/>
    </row>
    <row r="429" ht="15.75" customHeight="1">
      <c r="I429" s="33"/>
    </row>
    <row r="430" ht="15.75" customHeight="1">
      <c r="I430" s="33"/>
    </row>
    <row r="431" ht="15.75" customHeight="1">
      <c r="I431" s="33"/>
    </row>
    <row r="432" ht="15.75" customHeight="1">
      <c r="I432" s="33"/>
    </row>
    <row r="433" ht="15.75" customHeight="1">
      <c r="I433" s="33"/>
    </row>
    <row r="434" ht="15.75" customHeight="1">
      <c r="I434" s="33"/>
    </row>
    <row r="435" ht="15.75" customHeight="1">
      <c r="I435" s="33"/>
    </row>
    <row r="436" ht="15.75" customHeight="1">
      <c r="I436" s="33"/>
    </row>
    <row r="437" ht="15.75" customHeight="1">
      <c r="I437" s="33"/>
    </row>
    <row r="438" ht="15.75" customHeight="1">
      <c r="I438" s="33"/>
    </row>
    <row r="439" ht="15.75" customHeight="1">
      <c r="I439" s="33"/>
    </row>
    <row r="440" ht="15.75" customHeight="1">
      <c r="I440" s="33"/>
    </row>
    <row r="441" ht="15.75" customHeight="1">
      <c r="I441" s="33"/>
    </row>
    <row r="442" ht="15.75" customHeight="1">
      <c r="I442" s="33"/>
    </row>
    <row r="443" ht="15.75" customHeight="1">
      <c r="I443" s="33"/>
    </row>
    <row r="444" ht="15.75" customHeight="1">
      <c r="I444" s="33"/>
    </row>
    <row r="445" ht="15.75" customHeight="1">
      <c r="I445" s="33"/>
    </row>
    <row r="446" ht="15.75" customHeight="1">
      <c r="I446" s="33"/>
    </row>
    <row r="447" ht="15.75" customHeight="1">
      <c r="I447" s="33"/>
    </row>
    <row r="448" ht="15.75" customHeight="1">
      <c r="I448" s="33"/>
    </row>
    <row r="449" ht="15.75" customHeight="1">
      <c r="I449" s="33"/>
    </row>
    <row r="450" ht="15.75" customHeight="1">
      <c r="I450" s="33"/>
    </row>
    <row r="451" ht="15.75" customHeight="1">
      <c r="I451" s="33"/>
    </row>
    <row r="452" ht="15.75" customHeight="1">
      <c r="I452" s="33"/>
    </row>
    <row r="453" ht="15.75" customHeight="1">
      <c r="I453" s="33"/>
    </row>
    <row r="454" ht="15.75" customHeight="1">
      <c r="I454" s="33"/>
    </row>
    <row r="455" ht="15.75" customHeight="1">
      <c r="I455" s="33"/>
    </row>
    <row r="456" ht="15.75" customHeight="1">
      <c r="I456" s="33"/>
    </row>
    <row r="457" ht="15.75" customHeight="1">
      <c r="I457" s="33"/>
    </row>
    <row r="458" ht="15.75" customHeight="1">
      <c r="I458" s="33"/>
    </row>
    <row r="459" ht="15.75" customHeight="1">
      <c r="I459" s="33"/>
    </row>
    <row r="460" ht="15.75" customHeight="1">
      <c r="I460" s="33"/>
    </row>
    <row r="461" ht="15.75" customHeight="1">
      <c r="I461" s="33"/>
    </row>
    <row r="462" ht="15.75" customHeight="1">
      <c r="I462" s="33"/>
    </row>
    <row r="463" ht="15.75" customHeight="1">
      <c r="I463" s="33"/>
    </row>
    <row r="464" ht="15.75" customHeight="1">
      <c r="I464" s="33"/>
    </row>
    <row r="465" ht="15.75" customHeight="1">
      <c r="I465" s="33"/>
    </row>
    <row r="466" ht="15.75" customHeight="1">
      <c r="I466" s="33"/>
    </row>
    <row r="467" ht="15.75" customHeight="1">
      <c r="I467" s="33"/>
    </row>
    <row r="468" ht="15.75" customHeight="1">
      <c r="I468" s="33"/>
    </row>
    <row r="469" ht="15.75" customHeight="1">
      <c r="I469" s="33"/>
    </row>
    <row r="470" ht="15.75" customHeight="1">
      <c r="I470" s="33"/>
    </row>
    <row r="471" ht="15.75" customHeight="1">
      <c r="I471" s="33"/>
    </row>
    <row r="472" ht="15.75" customHeight="1">
      <c r="I472" s="33"/>
    </row>
    <row r="473" ht="15.75" customHeight="1">
      <c r="I473" s="33"/>
    </row>
    <row r="474" ht="15.75" customHeight="1">
      <c r="I474" s="33"/>
    </row>
    <row r="475" ht="15.75" customHeight="1">
      <c r="I475" s="33"/>
    </row>
    <row r="476" ht="15.75" customHeight="1">
      <c r="I476" s="33"/>
    </row>
    <row r="477" ht="15.75" customHeight="1">
      <c r="I477" s="33"/>
    </row>
    <row r="478" ht="15.75" customHeight="1">
      <c r="I478" s="33"/>
    </row>
    <row r="479" ht="15.75" customHeight="1">
      <c r="I479" s="33"/>
    </row>
    <row r="480" ht="15.75" customHeight="1">
      <c r="I480" s="33"/>
    </row>
    <row r="481" ht="15.75" customHeight="1">
      <c r="I481" s="33"/>
    </row>
    <row r="482" ht="15.75" customHeight="1">
      <c r="I482" s="33"/>
    </row>
    <row r="483" ht="15.75" customHeight="1">
      <c r="I483" s="33"/>
    </row>
    <row r="484" ht="15.75" customHeight="1">
      <c r="I484" s="33"/>
    </row>
    <row r="485" ht="15.75" customHeight="1">
      <c r="I485" s="33"/>
    </row>
    <row r="486" ht="15.75" customHeight="1">
      <c r="I486" s="33"/>
    </row>
    <row r="487" ht="15.75" customHeight="1">
      <c r="I487" s="33"/>
    </row>
    <row r="488" ht="15.75" customHeight="1">
      <c r="I488" s="33"/>
    </row>
    <row r="489" ht="15.75" customHeight="1">
      <c r="I489" s="33"/>
    </row>
    <row r="490" ht="15.75" customHeight="1">
      <c r="I490" s="33"/>
    </row>
    <row r="491" ht="15.75" customHeight="1">
      <c r="I491" s="33"/>
    </row>
    <row r="492" ht="15.75" customHeight="1">
      <c r="I492" s="33"/>
    </row>
    <row r="493" ht="15.75" customHeight="1">
      <c r="I493" s="33"/>
    </row>
    <row r="494" ht="15.75" customHeight="1">
      <c r="I494" s="33"/>
    </row>
    <row r="495" ht="15.75" customHeight="1">
      <c r="I495" s="33"/>
    </row>
    <row r="496" ht="15.75" customHeight="1">
      <c r="I496" s="33"/>
    </row>
    <row r="497" ht="15.75" customHeight="1">
      <c r="I497" s="33"/>
    </row>
    <row r="498" ht="15.75" customHeight="1">
      <c r="I498" s="33"/>
    </row>
    <row r="499" ht="15.75" customHeight="1">
      <c r="I499" s="33"/>
    </row>
    <row r="500" ht="15.75" customHeight="1">
      <c r="I500" s="33"/>
    </row>
    <row r="501" ht="15.75" customHeight="1">
      <c r="I501" s="33"/>
    </row>
    <row r="502" ht="15.75" customHeight="1">
      <c r="I502" s="33"/>
    </row>
    <row r="503" ht="15.75" customHeight="1">
      <c r="I503" s="33"/>
    </row>
    <row r="504" ht="15.75" customHeight="1">
      <c r="I504" s="33"/>
    </row>
    <row r="505" ht="15.75" customHeight="1">
      <c r="I505" s="33"/>
    </row>
    <row r="506" ht="15.75" customHeight="1">
      <c r="I506" s="33"/>
    </row>
    <row r="507" ht="15.75" customHeight="1">
      <c r="I507" s="33"/>
    </row>
    <row r="508" ht="15.75" customHeight="1">
      <c r="I508" s="33"/>
    </row>
    <row r="509" ht="15.75" customHeight="1">
      <c r="I509" s="33"/>
    </row>
    <row r="510" ht="15.75" customHeight="1">
      <c r="I510" s="33"/>
    </row>
    <row r="511" ht="15.75" customHeight="1">
      <c r="I511" s="33"/>
    </row>
    <row r="512" ht="15.75" customHeight="1">
      <c r="I512" s="33"/>
    </row>
    <row r="513" ht="15.75" customHeight="1">
      <c r="I513" s="33"/>
    </row>
    <row r="514" ht="15.75" customHeight="1">
      <c r="I514" s="33"/>
    </row>
    <row r="515" ht="15.75" customHeight="1">
      <c r="I515" s="33"/>
    </row>
    <row r="516" ht="15.75" customHeight="1">
      <c r="I516" s="33"/>
    </row>
    <row r="517" ht="15.75" customHeight="1">
      <c r="I517" s="33"/>
    </row>
    <row r="518" ht="15.75" customHeight="1">
      <c r="I518" s="33"/>
    </row>
    <row r="519" ht="15.75" customHeight="1">
      <c r="I519" s="33"/>
    </row>
    <row r="520" ht="15.75" customHeight="1">
      <c r="I520" s="33"/>
    </row>
    <row r="521" ht="15.75" customHeight="1">
      <c r="I521" s="33"/>
    </row>
    <row r="522" ht="15.75" customHeight="1">
      <c r="I522" s="33"/>
    </row>
    <row r="523" ht="15.75" customHeight="1">
      <c r="I523" s="33"/>
    </row>
    <row r="524" ht="15.75" customHeight="1">
      <c r="I524" s="33"/>
    </row>
    <row r="525" ht="15.75" customHeight="1">
      <c r="I525" s="33"/>
    </row>
    <row r="526" ht="15.75" customHeight="1">
      <c r="I526" s="33"/>
    </row>
    <row r="527" ht="15.75" customHeight="1">
      <c r="I527" s="33"/>
    </row>
    <row r="528" ht="15.75" customHeight="1">
      <c r="I528" s="33"/>
    </row>
    <row r="529" ht="15.75" customHeight="1">
      <c r="I529" s="33"/>
    </row>
    <row r="530" ht="15.75" customHeight="1">
      <c r="I530" s="33"/>
    </row>
    <row r="531" ht="15.75" customHeight="1">
      <c r="I531" s="33"/>
    </row>
    <row r="532" ht="15.75" customHeight="1">
      <c r="I532" s="33"/>
    </row>
    <row r="533" ht="15.75" customHeight="1">
      <c r="I533" s="33"/>
    </row>
    <row r="534" ht="15.75" customHeight="1">
      <c r="I534" s="33"/>
    </row>
    <row r="535" ht="15.75" customHeight="1">
      <c r="I535" s="33"/>
    </row>
    <row r="536" ht="15.75" customHeight="1">
      <c r="I536" s="33"/>
    </row>
    <row r="537" ht="15.75" customHeight="1">
      <c r="I537" s="33"/>
    </row>
    <row r="538" ht="15.75" customHeight="1">
      <c r="I538" s="33"/>
    </row>
    <row r="539" ht="15.75" customHeight="1">
      <c r="I539" s="33"/>
    </row>
    <row r="540" ht="15.75" customHeight="1">
      <c r="I540" s="33"/>
    </row>
    <row r="541" ht="15.75" customHeight="1">
      <c r="I541" s="33"/>
    </row>
    <row r="542" ht="15.75" customHeight="1">
      <c r="I542" s="33"/>
    </row>
    <row r="543" ht="15.75" customHeight="1">
      <c r="I543" s="33"/>
    </row>
    <row r="544" ht="15.75" customHeight="1">
      <c r="I544" s="33"/>
    </row>
    <row r="545" ht="15.75" customHeight="1">
      <c r="I545" s="33"/>
    </row>
    <row r="546" ht="15.75" customHeight="1">
      <c r="I546" s="33"/>
    </row>
    <row r="547" ht="15.75" customHeight="1">
      <c r="I547" s="33"/>
    </row>
    <row r="548" ht="15.75" customHeight="1">
      <c r="I548" s="33"/>
    </row>
    <row r="549" ht="15.75" customHeight="1">
      <c r="I549" s="33"/>
    </row>
    <row r="550" ht="15.75" customHeight="1">
      <c r="I550" s="33"/>
    </row>
    <row r="551" ht="15.75" customHeight="1">
      <c r="I551" s="33"/>
    </row>
    <row r="552" ht="15.75" customHeight="1">
      <c r="I552" s="33"/>
    </row>
    <row r="553" ht="15.75" customHeight="1">
      <c r="I553" s="33"/>
    </row>
    <row r="554" ht="15.75" customHeight="1">
      <c r="I554" s="33"/>
    </row>
    <row r="555" ht="15.75" customHeight="1">
      <c r="I555" s="33"/>
    </row>
    <row r="556" ht="15.75" customHeight="1">
      <c r="I556" s="33"/>
    </row>
    <row r="557" ht="15.75" customHeight="1">
      <c r="I557" s="33"/>
    </row>
    <row r="558" ht="15.75" customHeight="1">
      <c r="I558" s="33"/>
    </row>
    <row r="559" ht="15.75" customHeight="1">
      <c r="I559" s="33"/>
    </row>
    <row r="560" ht="15.75" customHeight="1">
      <c r="I560" s="33"/>
    </row>
    <row r="561" ht="15.75" customHeight="1">
      <c r="I561" s="33"/>
    </row>
    <row r="562" ht="15.75" customHeight="1">
      <c r="I562" s="33"/>
    </row>
    <row r="563" ht="15.75" customHeight="1">
      <c r="I563" s="33"/>
    </row>
    <row r="564" ht="15.75" customHeight="1">
      <c r="I564" s="33"/>
    </row>
    <row r="565" ht="15.75" customHeight="1">
      <c r="I565" s="33"/>
    </row>
    <row r="566" ht="15.75" customHeight="1">
      <c r="I566" s="33"/>
    </row>
    <row r="567" ht="15.75" customHeight="1">
      <c r="I567" s="33"/>
    </row>
    <row r="568" ht="15.75" customHeight="1">
      <c r="I568" s="33"/>
    </row>
    <row r="569" ht="15.75" customHeight="1">
      <c r="I569" s="33"/>
    </row>
    <row r="570" ht="15.75" customHeight="1">
      <c r="I570" s="33"/>
    </row>
    <row r="571" ht="15.75" customHeight="1">
      <c r="I571" s="33"/>
    </row>
    <row r="572" ht="15.75" customHeight="1">
      <c r="I572" s="33"/>
    </row>
    <row r="573" ht="15.75" customHeight="1">
      <c r="I573" s="33"/>
    </row>
    <row r="574" ht="15.75" customHeight="1">
      <c r="I574" s="33"/>
    </row>
    <row r="575" ht="15.75" customHeight="1">
      <c r="I575" s="33"/>
    </row>
    <row r="576" ht="15.75" customHeight="1">
      <c r="I576" s="33"/>
    </row>
    <row r="577" ht="15.75" customHeight="1">
      <c r="I577" s="33"/>
    </row>
    <row r="578" ht="15.75" customHeight="1">
      <c r="I578" s="33"/>
    </row>
    <row r="579" ht="15.75" customHeight="1">
      <c r="I579" s="33"/>
    </row>
    <row r="580" ht="15.75" customHeight="1">
      <c r="I580" s="33"/>
    </row>
    <row r="581" ht="15.75" customHeight="1">
      <c r="I581" s="33"/>
    </row>
    <row r="582" ht="15.75" customHeight="1">
      <c r="I582" s="33"/>
    </row>
    <row r="583" ht="15.75" customHeight="1">
      <c r="I583" s="33"/>
    </row>
    <row r="584" ht="15.75" customHeight="1">
      <c r="I584" s="33"/>
    </row>
    <row r="585" ht="15.75" customHeight="1">
      <c r="I585" s="33"/>
    </row>
    <row r="586" ht="15.75" customHeight="1">
      <c r="I586" s="33"/>
    </row>
    <row r="587" ht="15.75" customHeight="1">
      <c r="I587" s="33"/>
    </row>
    <row r="588" ht="15.75" customHeight="1">
      <c r="I588" s="33"/>
    </row>
    <row r="589" ht="15.75" customHeight="1">
      <c r="I589" s="33"/>
    </row>
    <row r="590" ht="15.75" customHeight="1">
      <c r="I590" s="33"/>
    </row>
    <row r="591" ht="15.75" customHeight="1">
      <c r="I591" s="33"/>
    </row>
    <row r="592" ht="15.75" customHeight="1">
      <c r="I592" s="33"/>
    </row>
    <row r="593" ht="15.75" customHeight="1">
      <c r="I593" s="33"/>
    </row>
    <row r="594" ht="15.75" customHeight="1">
      <c r="I594" s="33"/>
    </row>
    <row r="595" ht="15.75" customHeight="1">
      <c r="I595" s="33"/>
    </row>
    <row r="596" ht="15.75" customHeight="1">
      <c r="I596" s="33"/>
    </row>
    <row r="597" ht="15.75" customHeight="1">
      <c r="I597" s="33"/>
    </row>
    <row r="598" ht="15.75" customHeight="1">
      <c r="I598" s="33"/>
    </row>
    <row r="599" ht="15.75" customHeight="1">
      <c r="I599" s="33"/>
    </row>
    <row r="600" ht="15.75" customHeight="1">
      <c r="I600" s="33"/>
    </row>
    <row r="601" ht="15.75" customHeight="1">
      <c r="I601" s="33"/>
    </row>
    <row r="602" ht="15.75" customHeight="1">
      <c r="I602" s="33"/>
    </row>
    <row r="603" ht="15.75" customHeight="1">
      <c r="I603" s="33"/>
    </row>
    <row r="604" ht="15.75" customHeight="1">
      <c r="I604" s="33"/>
    </row>
    <row r="605" ht="15.75" customHeight="1">
      <c r="I605" s="33"/>
    </row>
    <row r="606" ht="15.75" customHeight="1">
      <c r="I606" s="33"/>
    </row>
    <row r="607" ht="15.75" customHeight="1">
      <c r="I607" s="33"/>
    </row>
    <row r="608" ht="15.75" customHeight="1">
      <c r="I608" s="33"/>
    </row>
    <row r="609" ht="15.75" customHeight="1">
      <c r="I609" s="33"/>
    </row>
    <row r="610" ht="15.75" customHeight="1">
      <c r="I610" s="33"/>
    </row>
    <row r="611" ht="15.75" customHeight="1">
      <c r="I611" s="33"/>
    </row>
    <row r="612" ht="15.75" customHeight="1">
      <c r="I612" s="33"/>
    </row>
    <row r="613" ht="15.75" customHeight="1">
      <c r="I613" s="33"/>
    </row>
    <row r="614" ht="15.75" customHeight="1">
      <c r="I614" s="33"/>
    </row>
    <row r="615" ht="15.75" customHeight="1">
      <c r="I615" s="33"/>
    </row>
    <row r="616" ht="15.75" customHeight="1">
      <c r="I616" s="33"/>
    </row>
    <row r="617" ht="15.75" customHeight="1">
      <c r="I617" s="33"/>
    </row>
    <row r="618" ht="15.75" customHeight="1">
      <c r="I618" s="33"/>
    </row>
    <row r="619" ht="15.75" customHeight="1">
      <c r="I619" s="33"/>
    </row>
    <row r="620" ht="15.75" customHeight="1">
      <c r="I620" s="33"/>
    </row>
    <row r="621" ht="15.75" customHeight="1">
      <c r="I621" s="33"/>
    </row>
    <row r="622" ht="15.75" customHeight="1">
      <c r="I622" s="33"/>
    </row>
    <row r="623" ht="15.75" customHeight="1">
      <c r="I623" s="33"/>
    </row>
    <row r="624" ht="15.75" customHeight="1">
      <c r="I624" s="33"/>
    </row>
    <row r="625" ht="15.75" customHeight="1">
      <c r="I625" s="33"/>
    </row>
    <row r="626" ht="15.75" customHeight="1">
      <c r="I626" s="33"/>
    </row>
    <row r="627" ht="15.75" customHeight="1">
      <c r="I627" s="33"/>
    </row>
    <row r="628" ht="15.75" customHeight="1">
      <c r="I628" s="33"/>
    </row>
    <row r="629" ht="15.75" customHeight="1">
      <c r="I629" s="33"/>
    </row>
    <row r="630" ht="15.75" customHeight="1">
      <c r="I630" s="33"/>
    </row>
    <row r="631" ht="15.75" customHeight="1">
      <c r="I631" s="33"/>
    </row>
    <row r="632" ht="15.75" customHeight="1">
      <c r="I632" s="33"/>
    </row>
    <row r="633" ht="15.75" customHeight="1">
      <c r="I633" s="33"/>
    </row>
    <row r="634" ht="15.75" customHeight="1">
      <c r="I634" s="33"/>
    </row>
    <row r="635" ht="15.75" customHeight="1">
      <c r="I635" s="33"/>
    </row>
    <row r="636" ht="15.75" customHeight="1">
      <c r="I636" s="33"/>
    </row>
    <row r="637" ht="15.75" customHeight="1">
      <c r="I637" s="33"/>
    </row>
    <row r="638" ht="15.75" customHeight="1">
      <c r="I638" s="33"/>
    </row>
    <row r="639" ht="15.75" customHeight="1">
      <c r="I639" s="33"/>
    </row>
    <row r="640" ht="15.75" customHeight="1">
      <c r="I640" s="33"/>
    </row>
    <row r="641" ht="15.75" customHeight="1">
      <c r="I641" s="33"/>
    </row>
    <row r="642" ht="15.75" customHeight="1">
      <c r="I642" s="33"/>
    </row>
    <row r="643" ht="15.75" customHeight="1">
      <c r="I643" s="33"/>
    </row>
    <row r="644" ht="15.75" customHeight="1">
      <c r="I644" s="33"/>
    </row>
    <row r="645" ht="15.75" customHeight="1">
      <c r="I645" s="33"/>
    </row>
    <row r="646" ht="15.75" customHeight="1">
      <c r="I646" s="33"/>
    </row>
    <row r="647" ht="15.75" customHeight="1">
      <c r="I647" s="33"/>
    </row>
    <row r="648" ht="15.75" customHeight="1">
      <c r="I648" s="33"/>
    </row>
    <row r="649" ht="15.75" customHeight="1">
      <c r="I649" s="33"/>
    </row>
    <row r="650" ht="15.75" customHeight="1">
      <c r="I650" s="33"/>
    </row>
    <row r="651" ht="15.75" customHeight="1">
      <c r="I651" s="33"/>
    </row>
    <row r="652" ht="15.75" customHeight="1">
      <c r="I652" s="33"/>
    </row>
    <row r="653" ht="15.75" customHeight="1">
      <c r="I653" s="33"/>
    </row>
    <row r="654" ht="15.75" customHeight="1">
      <c r="I654" s="33"/>
    </row>
    <row r="655" ht="15.75" customHeight="1">
      <c r="I655" s="33"/>
    </row>
    <row r="656" ht="15.75" customHeight="1">
      <c r="I656" s="33"/>
    </row>
    <row r="657" ht="15.75" customHeight="1">
      <c r="I657" s="33"/>
    </row>
    <row r="658" ht="15.75" customHeight="1">
      <c r="I658" s="33"/>
    </row>
    <row r="659" ht="15.75" customHeight="1">
      <c r="I659" s="33"/>
    </row>
    <row r="660" ht="15.75" customHeight="1">
      <c r="I660" s="33"/>
    </row>
    <row r="661" ht="15.75" customHeight="1">
      <c r="I661" s="33"/>
    </row>
    <row r="662" ht="15.75" customHeight="1">
      <c r="I662" s="33"/>
    </row>
    <row r="663" ht="15.75" customHeight="1">
      <c r="I663" s="33"/>
    </row>
    <row r="664" ht="15.75" customHeight="1">
      <c r="I664" s="33"/>
    </row>
    <row r="665" ht="15.75" customHeight="1">
      <c r="I665" s="33"/>
    </row>
    <row r="666" ht="15.75" customHeight="1">
      <c r="I666" s="33"/>
    </row>
    <row r="667" ht="15.75" customHeight="1">
      <c r="I667" s="33"/>
    </row>
    <row r="668" ht="15.75" customHeight="1">
      <c r="I668" s="33"/>
    </row>
    <row r="669" ht="15.75" customHeight="1">
      <c r="I669" s="33"/>
    </row>
    <row r="670" ht="15.75" customHeight="1">
      <c r="I670" s="33"/>
    </row>
    <row r="671" ht="15.75" customHeight="1">
      <c r="I671" s="33"/>
    </row>
    <row r="672" ht="15.75" customHeight="1">
      <c r="I672" s="33"/>
    </row>
    <row r="673" ht="15.75" customHeight="1">
      <c r="I673" s="33"/>
    </row>
    <row r="674" ht="15.75" customHeight="1">
      <c r="I674" s="33"/>
    </row>
    <row r="675" ht="15.75" customHeight="1">
      <c r="I675" s="33"/>
    </row>
    <row r="676" ht="15.75" customHeight="1">
      <c r="I676" s="33"/>
    </row>
    <row r="677" ht="15.75" customHeight="1">
      <c r="I677" s="33"/>
    </row>
    <row r="678" ht="15.75" customHeight="1">
      <c r="I678" s="33"/>
    </row>
    <row r="679" ht="15.75" customHeight="1">
      <c r="I679" s="33"/>
    </row>
    <row r="680" ht="15.75" customHeight="1">
      <c r="I680" s="33"/>
    </row>
    <row r="681" ht="15.75" customHeight="1">
      <c r="I681" s="33"/>
    </row>
    <row r="682" ht="15.75" customHeight="1">
      <c r="I682" s="33"/>
    </row>
    <row r="683" ht="15.75" customHeight="1">
      <c r="I683" s="33"/>
    </row>
    <row r="684" ht="15.75" customHeight="1">
      <c r="I684" s="33"/>
    </row>
    <row r="685" ht="15.75" customHeight="1">
      <c r="I685" s="33"/>
    </row>
    <row r="686" ht="15.75" customHeight="1">
      <c r="I686" s="33"/>
    </row>
    <row r="687" ht="15.75" customHeight="1">
      <c r="I687" s="33"/>
    </row>
    <row r="688" ht="15.75" customHeight="1">
      <c r="I688" s="33"/>
    </row>
    <row r="689" ht="15.75" customHeight="1">
      <c r="I689" s="33"/>
    </row>
    <row r="690" ht="15.75" customHeight="1">
      <c r="I690" s="33"/>
    </row>
    <row r="691" ht="15.75" customHeight="1">
      <c r="I691" s="33"/>
    </row>
    <row r="692" ht="15.75" customHeight="1">
      <c r="I692" s="33"/>
    </row>
    <row r="693" ht="15.75" customHeight="1">
      <c r="I693" s="33"/>
    </row>
    <row r="694" ht="15.75" customHeight="1">
      <c r="I694" s="33"/>
    </row>
    <row r="695" ht="15.75" customHeight="1">
      <c r="I695" s="33"/>
    </row>
    <row r="696" ht="15.75" customHeight="1">
      <c r="I696" s="33"/>
    </row>
    <row r="697" ht="15.75" customHeight="1">
      <c r="I697" s="33"/>
    </row>
    <row r="698" ht="15.75" customHeight="1">
      <c r="I698" s="33"/>
    </row>
    <row r="699" ht="15.75" customHeight="1">
      <c r="I699" s="33"/>
    </row>
    <row r="700" ht="15.75" customHeight="1">
      <c r="I700" s="33"/>
    </row>
    <row r="701" ht="15.75" customHeight="1">
      <c r="I701" s="33"/>
    </row>
    <row r="702" ht="15.75" customHeight="1">
      <c r="I702" s="33"/>
    </row>
    <row r="703" ht="15.75" customHeight="1">
      <c r="I703" s="33"/>
    </row>
    <row r="704" ht="15.75" customHeight="1">
      <c r="I704" s="33"/>
    </row>
    <row r="705" ht="15.75" customHeight="1">
      <c r="I705" s="33"/>
    </row>
    <row r="706" ht="15.75" customHeight="1">
      <c r="I706" s="33"/>
    </row>
    <row r="707" ht="15.75" customHeight="1">
      <c r="I707" s="33"/>
    </row>
    <row r="708" ht="15.75" customHeight="1">
      <c r="I708" s="33"/>
    </row>
    <row r="709" ht="15.75" customHeight="1">
      <c r="I709" s="33"/>
    </row>
    <row r="710" ht="15.75" customHeight="1">
      <c r="I710" s="33"/>
    </row>
    <row r="711" ht="15.75" customHeight="1">
      <c r="I711" s="33"/>
    </row>
    <row r="712" ht="15.75" customHeight="1">
      <c r="I712" s="33"/>
    </row>
    <row r="713" ht="15.75" customHeight="1">
      <c r="I713" s="33"/>
    </row>
    <row r="714" ht="15.75" customHeight="1">
      <c r="I714" s="33"/>
    </row>
    <row r="715" ht="15.75" customHeight="1">
      <c r="I715" s="33"/>
    </row>
    <row r="716" ht="15.75" customHeight="1">
      <c r="I716" s="33"/>
    </row>
    <row r="717" ht="15.75" customHeight="1">
      <c r="I717" s="33"/>
    </row>
    <row r="718" ht="15.75" customHeight="1">
      <c r="I718" s="33"/>
    </row>
    <row r="719" ht="15.75" customHeight="1">
      <c r="I719" s="33"/>
    </row>
    <row r="720" ht="15.75" customHeight="1">
      <c r="I720" s="33"/>
    </row>
    <row r="721" ht="15.75" customHeight="1">
      <c r="I721" s="33"/>
    </row>
    <row r="722" ht="15.75" customHeight="1">
      <c r="I722" s="33"/>
    </row>
    <row r="723" ht="15.75" customHeight="1">
      <c r="I723" s="33"/>
    </row>
    <row r="724" ht="15.75" customHeight="1">
      <c r="I724" s="33"/>
    </row>
    <row r="725" ht="15.75" customHeight="1">
      <c r="I725" s="33"/>
    </row>
    <row r="726" ht="15.75" customHeight="1">
      <c r="I726" s="33"/>
    </row>
    <row r="727" ht="15.75" customHeight="1">
      <c r="I727" s="33"/>
    </row>
    <row r="728" ht="15.75" customHeight="1">
      <c r="I728" s="33"/>
    </row>
    <row r="729" ht="15.75" customHeight="1">
      <c r="I729" s="33"/>
    </row>
    <row r="730" ht="15.75" customHeight="1">
      <c r="I730" s="33"/>
    </row>
    <row r="731" ht="15.75" customHeight="1">
      <c r="I731" s="33"/>
    </row>
    <row r="732" ht="15.75" customHeight="1">
      <c r="I732" s="33"/>
    </row>
    <row r="733" ht="15.75" customHeight="1">
      <c r="I733" s="33"/>
    </row>
    <row r="734" ht="15.75" customHeight="1">
      <c r="I734" s="33"/>
    </row>
    <row r="735" ht="15.75" customHeight="1">
      <c r="I735" s="33"/>
    </row>
    <row r="736" ht="15.75" customHeight="1">
      <c r="I736" s="33"/>
    </row>
    <row r="737" ht="15.75" customHeight="1">
      <c r="I737" s="33"/>
    </row>
    <row r="738" ht="15.75" customHeight="1">
      <c r="I738" s="33"/>
    </row>
    <row r="739" ht="15.75" customHeight="1">
      <c r="I739" s="33"/>
    </row>
    <row r="740" ht="15.75" customHeight="1">
      <c r="I740" s="33"/>
    </row>
    <row r="741" ht="15.75" customHeight="1">
      <c r="I741" s="33"/>
    </row>
    <row r="742" ht="15.75" customHeight="1">
      <c r="I742" s="33"/>
    </row>
    <row r="743" ht="15.75" customHeight="1">
      <c r="I743" s="33"/>
    </row>
    <row r="744" ht="15.75" customHeight="1">
      <c r="I744" s="33"/>
    </row>
    <row r="745" ht="15.75" customHeight="1">
      <c r="I745" s="33"/>
    </row>
    <row r="746" ht="15.75" customHeight="1">
      <c r="I746" s="33"/>
    </row>
    <row r="747" ht="15.75" customHeight="1">
      <c r="I747" s="33"/>
    </row>
    <row r="748" ht="15.75" customHeight="1">
      <c r="I748" s="33"/>
    </row>
    <row r="749" ht="15.75" customHeight="1">
      <c r="I749" s="33"/>
    </row>
    <row r="750" ht="15.75" customHeight="1">
      <c r="I750" s="33"/>
    </row>
    <row r="751" ht="15.75" customHeight="1">
      <c r="I751" s="33"/>
    </row>
    <row r="752" ht="15.75" customHeight="1">
      <c r="I752" s="33"/>
    </row>
    <row r="753" ht="15.75" customHeight="1">
      <c r="I753" s="33"/>
    </row>
    <row r="754" ht="15.75" customHeight="1">
      <c r="I754" s="33"/>
    </row>
    <row r="755" ht="15.75" customHeight="1">
      <c r="I755" s="33"/>
    </row>
    <row r="756" ht="15.75" customHeight="1">
      <c r="I756" s="33"/>
    </row>
    <row r="757" ht="15.75" customHeight="1">
      <c r="I757" s="33"/>
    </row>
    <row r="758" ht="15.75" customHeight="1">
      <c r="I758" s="33"/>
    </row>
    <row r="759" ht="15.75" customHeight="1">
      <c r="I759" s="33"/>
    </row>
    <row r="760" ht="15.75" customHeight="1">
      <c r="I760" s="33"/>
    </row>
    <row r="761" ht="15.75" customHeight="1">
      <c r="I761" s="33"/>
    </row>
    <row r="762" ht="15.75" customHeight="1">
      <c r="I762" s="33"/>
    </row>
    <row r="763" ht="15.75" customHeight="1">
      <c r="I763" s="33"/>
    </row>
    <row r="764" ht="15.75" customHeight="1">
      <c r="I764" s="33"/>
    </row>
    <row r="765" ht="15.75" customHeight="1">
      <c r="I765" s="33"/>
    </row>
    <row r="766" ht="15.75" customHeight="1">
      <c r="I766" s="33"/>
    </row>
    <row r="767" ht="15.75" customHeight="1">
      <c r="I767" s="33"/>
    </row>
    <row r="768" ht="15.75" customHeight="1">
      <c r="I768" s="33"/>
    </row>
    <row r="769" ht="15.75" customHeight="1">
      <c r="I769" s="33"/>
    </row>
    <row r="770" ht="15.75" customHeight="1">
      <c r="I770" s="33"/>
    </row>
    <row r="771" ht="15.75" customHeight="1">
      <c r="I771" s="33"/>
    </row>
    <row r="772" ht="15.75" customHeight="1">
      <c r="I772" s="33"/>
    </row>
    <row r="773" ht="15.75" customHeight="1">
      <c r="I773" s="33"/>
    </row>
    <row r="774" ht="15.75" customHeight="1">
      <c r="I774" s="33"/>
    </row>
    <row r="775" ht="15.75" customHeight="1">
      <c r="I775" s="33"/>
    </row>
    <row r="776" ht="15.75" customHeight="1">
      <c r="I776" s="33"/>
    </row>
    <row r="777" ht="15.75" customHeight="1">
      <c r="I777" s="33"/>
    </row>
    <row r="778" ht="15.75" customHeight="1">
      <c r="I778" s="33"/>
    </row>
    <row r="779" ht="15.75" customHeight="1">
      <c r="I779" s="33"/>
    </row>
    <row r="780" ht="15.75" customHeight="1">
      <c r="I780" s="33"/>
    </row>
    <row r="781" ht="15.75" customHeight="1">
      <c r="I781" s="33"/>
    </row>
    <row r="782" ht="15.75" customHeight="1">
      <c r="I782" s="33"/>
    </row>
    <row r="783" ht="15.75" customHeight="1">
      <c r="I783" s="33"/>
    </row>
    <row r="784" ht="15.75" customHeight="1">
      <c r="I784" s="33"/>
    </row>
    <row r="785" ht="15.75" customHeight="1">
      <c r="I785" s="33"/>
    </row>
    <row r="786" ht="15.75" customHeight="1">
      <c r="I786" s="33"/>
    </row>
    <row r="787" ht="15.75" customHeight="1">
      <c r="I787" s="33"/>
    </row>
    <row r="788" ht="15.75" customHeight="1">
      <c r="I788" s="33"/>
    </row>
    <row r="789" ht="15.75" customHeight="1">
      <c r="I789" s="33"/>
    </row>
    <row r="790" ht="15.75" customHeight="1">
      <c r="I790" s="33"/>
    </row>
    <row r="791" ht="15.75" customHeight="1">
      <c r="I791" s="33"/>
    </row>
    <row r="792" ht="15.75" customHeight="1">
      <c r="I792" s="33"/>
    </row>
    <row r="793" ht="15.75" customHeight="1">
      <c r="I793" s="33"/>
    </row>
    <row r="794" ht="15.75" customHeight="1">
      <c r="I794" s="33"/>
    </row>
    <row r="795" ht="15.75" customHeight="1">
      <c r="I795" s="33"/>
    </row>
    <row r="796" ht="15.75" customHeight="1">
      <c r="I796" s="33"/>
    </row>
    <row r="797" ht="15.75" customHeight="1">
      <c r="I797" s="33"/>
    </row>
    <row r="798" ht="15.75" customHeight="1">
      <c r="I798" s="33"/>
    </row>
    <row r="799" ht="15.75" customHeight="1">
      <c r="I799" s="33"/>
    </row>
    <row r="800" ht="15.75" customHeight="1">
      <c r="I800" s="33"/>
    </row>
    <row r="801" ht="15.75" customHeight="1">
      <c r="I801" s="33"/>
    </row>
    <row r="802" ht="15.75" customHeight="1">
      <c r="I802" s="33"/>
    </row>
    <row r="803" ht="15.75" customHeight="1">
      <c r="I803" s="33"/>
    </row>
    <row r="804" ht="15.75" customHeight="1">
      <c r="I804" s="33"/>
    </row>
    <row r="805" ht="15.75" customHeight="1">
      <c r="I805" s="33"/>
    </row>
    <row r="806" ht="15.75" customHeight="1">
      <c r="I806" s="33"/>
    </row>
    <row r="807" ht="15.75" customHeight="1">
      <c r="I807" s="33"/>
    </row>
    <row r="808" ht="15.75" customHeight="1">
      <c r="I808" s="33"/>
    </row>
    <row r="809" ht="15.75" customHeight="1">
      <c r="I809" s="33"/>
    </row>
    <row r="810" ht="15.75" customHeight="1">
      <c r="I810" s="33"/>
    </row>
    <row r="811" ht="15.75" customHeight="1">
      <c r="I811" s="33"/>
    </row>
    <row r="812" ht="15.75" customHeight="1">
      <c r="I812" s="33"/>
    </row>
    <row r="813" ht="15.75" customHeight="1">
      <c r="I813" s="33"/>
    </row>
    <row r="814" ht="15.75" customHeight="1">
      <c r="I814" s="33"/>
    </row>
    <row r="815" ht="15.75" customHeight="1">
      <c r="I815" s="33"/>
    </row>
    <row r="816" ht="15.75" customHeight="1">
      <c r="I816" s="33"/>
    </row>
    <row r="817" ht="15.75" customHeight="1">
      <c r="I817" s="33"/>
    </row>
    <row r="818" ht="15.75" customHeight="1">
      <c r="I818" s="33"/>
    </row>
    <row r="819" ht="15.75" customHeight="1">
      <c r="I819" s="33"/>
    </row>
    <row r="820" ht="15.75" customHeight="1">
      <c r="I820" s="33"/>
    </row>
    <row r="821" ht="15.75" customHeight="1">
      <c r="I821" s="33"/>
    </row>
    <row r="822" ht="15.75" customHeight="1">
      <c r="I822" s="33"/>
    </row>
    <row r="823" ht="15.75" customHeight="1">
      <c r="I823" s="33"/>
    </row>
    <row r="824" ht="15.75" customHeight="1">
      <c r="I824" s="33"/>
    </row>
    <row r="825" ht="15.75" customHeight="1">
      <c r="I825" s="33"/>
    </row>
    <row r="826" ht="15.75" customHeight="1">
      <c r="I826" s="33"/>
    </row>
    <row r="827" ht="15.75" customHeight="1">
      <c r="I827" s="33"/>
    </row>
    <row r="828" ht="15.75" customHeight="1">
      <c r="I828" s="33"/>
    </row>
    <row r="829" ht="15.75" customHeight="1">
      <c r="I829" s="33"/>
    </row>
    <row r="830" ht="15.75" customHeight="1">
      <c r="I830" s="33"/>
    </row>
    <row r="831" ht="15.75" customHeight="1">
      <c r="I831" s="33"/>
    </row>
    <row r="832" ht="15.75" customHeight="1">
      <c r="I832" s="33"/>
    </row>
    <row r="833" ht="15.75" customHeight="1">
      <c r="I833" s="33"/>
    </row>
    <row r="834" ht="15.75" customHeight="1">
      <c r="I834" s="33"/>
    </row>
    <row r="835" ht="15.75" customHeight="1">
      <c r="I835" s="33"/>
    </row>
    <row r="836" ht="15.75" customHeight="1">
      <c r="I836" s="33"/>
    </row>
    <row r="837" ht="15.75" customHeight="1">
      <c r="I837" s="33"/>
    </row>
    <row r="838" ht="15.75" customHeight="1">
      <c r="I838" s="33"/>
    </row>
    <row r="839" ht="15.75" customHeight="1">
      <c r="I839" s="33"/>
    </row>
    <row r="840" ht="15.75" customHeight="1">
      <c r="I840" s="33"/>
    </row>
    <row r="841" ht="15.75" customHeight="1">
      <c r="I841" s="33"/>
    </row>
    <row r="842" ht="15.75" customHeight="1">
      <c r="I842" s="33"/>
    </row>
    <row r="843" ht="15.75" customHeight="1">
      <c r="I843" s="33"/>
    </row>
    <row r="844" ht="15.75" customHeight="1">
      <c r="I844" s="33"/>
    </row>
    <row r="845" ht="15.75" customHeight="1">
      <c r="I845" s="33"/>
    </row>
    <row r="846" ht="15.75" customHeight="1">
      <c r="I846" s="33"/>
    </row>
    <row r="847" ht="15.75" customHeight="1">
      <c r="I847" s="33"/>
    </row>
    <row r="848" ht="15.75" customHeight="1">
      <c r="I848" s="33"/>
    </row>
    <row r="849" ht="15.75" customHeight="1">
      <c r="I849" s="33"/>
    </row>
    <row r="850" ht="15.75" customHeight="1">
      <c r="I850" s="33"/>
    </row>
    <row r="851" ht="15.75" customHeight="1">
      <c r="I851" s="33"/>
    </row>
    <row r="852" ht="15.75" customHeight="1">
      <c r="I852" s="33"/>
    </row>
    <row r="853" ht="15.75" customHeight="1">
      <c r="I853" s="33"/>
    </row>
    <row r="854" ht="15.75" customHeight="1">
      <c r="I854" s="33"/>
    </row>
    <row r="855" ht="15.75" customHeight="1">
      <c r="I855" s="33"/>
    </row>
    <row r="856" ht="15.75" customHeight="1">
      <c r="I856" s="33"/>
    </row>
    <row r="857" ht="15.75" customHeight="1">
      <c r="I857" s="33"/>
    </row>
    <row r="858" ht="15.75" customHeight="1">
      <c r="I858" s="33"/>
    </row>
    <row r="859" ht="15.75" customHeight="1">
      <c r="I859" s="33"/>
    </row>
    <row r="860" ht="15.75" customHeight="1">
      <c r="I860" s="33"/>
    </row>
    <row r="861" ht="15.75" customHeight="1">
      <c r="I861" s="33"/>
    </row>
    <row r="862" ht="15.75" customHeight="1">
      <c r="I862" s="33"/>
    </row>
    <row r="863" ht="15.75" customHeight="1">
      <c r="I863" s="33"/>
    </row>
    <row r="864" ht="15.75" customHeight="1">
      <c r="I864" s="33"/>
    </row>
    <row r="865" ht="15.75" customHeight="1">
      <c r="I865" s="33"/>
    </row>
    <row r="866" ht="15.75" customHeight="1">
      <c r="I866" s="33"/>
    </row>
    <row r="867" ht="15.75" customHeight="1">
      <c r="I867" s="33"/>
    </row>
    <row r="868" ht="15.75" customHeight="1">
      <c r="I868" s="33"/>
    </row>
    <row r="869" ht="15.75" customHeight="1">
      <c r="I869" s="33"/>
    </row>
    <row r="870" ht="15.75" customHeight="1">
      <c r="I870" s="33"/>
    </row>
    <row r="871" ht="15.75" customHeight="1">
      <c r="I871" s="33"/>
    </row>
    <row r="872" ht="15.75" customHeight="1">
      <c r="I872" s="33"/>
    </row>
    <row r="873" ht="15.75" customHeight="1">
      <c r="I873" s="33"/>
    </row>
    <row r="874" ht="15.75" customHeight="1">
      <c r="I874" s="33"/>
    </row>
    <row r="875" ht="15.75" customHeight="1">
      <c r="I875" s="33"/>
    </row>
    <row r="876" ht="15.75" customHeight="1">
      <c r="I876" s="33"/>
    </row>
    <row r="877" ht="15.75" customHeight="1">
      <c r="I877" s="33"/>
    </row>
    <row r="878" ht="15.75" customHeight="1">
      <c r="I878" s="33"/>
    </row>
    <row r="879" ht="15.75" customHeight="1">
      <c r="I879" s="33"/>
    </row>
    <row r="880" ht="15.75" customHeight="1">
      <c r="I880" s="33"/>
    </row>
    <row r="881" ht="15.75" customHeight="1">
      <c r="I881" s="33"/>
    </row>
    <row r="882" ht="15.75" customHeight="1">
      <c r="I882" s="33"/>
    </row>
    <row r="883" ht="15.75" customHeight="1">
      <c r="I883" s="33"/>
    </row>
    <row r="884" ht="15.75" customHeight="1">
      <c r="I884" s="33"/>
    </row>
    <row r="885" ht="15.75" customHeight="1">
      <c r="I885" s="33"/>
    </row>
    <row r="886" ht="15.75" customHeight="1">
      <c r="I886" s="33"/>
    </row>
    <row r="887" ht="15.75" customHeight="1">
      <c r="I887" s="33"/>
    </row>
    <row r="888" ht="15.75" customHeight="1">
      <c r="I888" s="33"/>
    </row>
    <row r="889" ht="15.75" customHeight="1">
      <c r="I889" s="33"/>
    </row>
    <row r="890" ht="15.75" customHeight="1">
      <c r="I890" s="33"/>
    </row>
    <row r="891" ht="15.75" customHeight="1">
      <c r="I891" s="33"/>
    </row>
    <row r="892" ht="15.75" customHeight="1">
      <c r="I892" s="33"/>
    </row>
    <row r="893" ht="15.75" customHeight="1">
      <c r="I893" s="33"/>
    </row>
    <row r="894" ht="15.75" customHeight="1">
      <c r="I894" s="33"/>
    </row>
    <row r="895" ht="15.75" customHeight="1">
      <c r="I895" s="33"/>
    </row>
    <row r="896" ht="15.75" customHeight="1">
      <c r="I896" s="33"/>
    </row>
    <row r="897" ht="15.75" customHeight="1">
      <c r="I897" s="33"/>
    </row>
    <row r="898" ht="15.75" customHeight="1">
      <c r="I898" s="33"/>
    </row>
    <row r="899" ht="15.75" customHeight="1">
      <c r="I899" s="33"/>
    </row>
    <row r="900" ht="15.75" customHeight="1">
      <c r="I900" s="33"/>
    </row>
    <row r="901" ht="15.75" customHeight="1">
      <c r="I901" s="33"/>
    </row>
    <row r="902" ht="15.75" customHeight="1">
      <c r="I902" s="33"/>
    </row>
    <row r="903" ht="15.75" customHeight="1">
      <c r="I903" s="33"/>
    </row>
    <row r="904" ht="15.75" customHeight="1">
      <c r="I904" s="33"/>
    </row>
    <row r="905" ht="15.75" customHeight="1">
      <c r="I905" s="33"/>
    </row>
    <row r="906" ht="15.75" customHeight="1">
      <c r="I906" s="33"/>
    </row>
    <row r="907" ht="15.75" customHeight="1">
      <c r="I907" s="33"/>
    </row>
    <row r="908" ht="15.75" customHeight="1">
      <c r="I908" s="33"/>
    </row>
    <row r="909" ht="15.75" customHeight="1">
      <c r="I909" s="33"/>
    </row>
    <row r="910" ht="15.75" customHeight="1">
      <c r="I910" s="33"/>
    </row>
    <row r="911" ht="15.75" customHeight="1">
      <c r="I911" s="33"/>
    </row>
    <row r="912" ht="15.75" customHeight="1">
      <c r="I912" s="33"/>
    </row>
    <row r="913" ht="15.75" customHeight="1">
      <c r="I913" s="33"/>
    </row>
    <row r="914" ht="15.75" customHeight="1">
      <c r="I914" s="33"/>
    </row>
    <row r="915" ht="15.75" customHeight="1">
      <c r="I915" s="33"/>
    </row>
    <row r="916" ht="15.75" customHeight="1">
      <c r="I916" s="33"/>
    </row>
    <row r="917" ht="15.75" customHeight="1">
      <c r="I917" s="33"/>
    </row>
    <row r="918" ht="15.75" customHeight="1">
      <c r="I918" s="33"/>
    </row>
    <row r="919" ht="15.75" customHeight="1">
      <c r="I919" s="33"/>
    </row>
    <row r="920" ht="15.75" customHeight="1">
      <c r="I920" s="33"/>
    </row>
    <row r="921" ht="15.75" customHeight="1">
      <c r="I921" s="33"/>
    </row>
    <row r="922" ht="15.75" customHeight="1">
      <c r="I922" s="33"/>
    </row>
    <row r="923" ht="15.75" customHeight="1">
      <c r="I923" s="33"/>
    </row>
    <row r="924" ht="15.75" customHeight="1">
      <c r="I924" s="33"/>
    </row>
    <row r="925" ht="15.75" customHeight="1">
      <c r="I925" s="33"/>
    </row>
    <row r="926" ht="15.75" customHeight="1">
      <c r="I926" s="33"/>
    </row>
    <row r="927" ht="15.75" customHeight="1">
      <c r="I927" s="33"/>
    </row>
    <row r="928" ht="15.75" customHeight="1">
      <c r="I928" s="33"/>
    </row>
    <row r="929" ht="15.75" customHeight="1">
      <c r="I929" s="33"/>
    </row>
    <row r="930" ht="15.75" customHeight="1">
      <c r="I930" s="33"/>
    </row>
    <row r="931" ht="15.75" customHeight="1">
      <c r="I931" s="33"/>
    </row>
    <row r="932" ht="15.75" customHeight="1">
      <c r="I932" s="33"/>
    </row>
    <row r="933" ht="15.75" customHeight="1">
      <c r="I933" s="33"/>
    </row>
    <row r="934" ht="15.75" customHeight="1">
      <c r="I934" s="33"/>
    </row>
    <row r="935" ht="15.75" customHeight="1">
      <c r="I935" s="33"/>
    </row>
    <row r="936" ht="15.75" customHeight="1">
      <c r="I936" s="33"/>
    </row>
    <row r="937" ht="15.75" customHeight="1">
      <c r="I937" s="33"/>
    </row>
    <row r="938" ht="15.75" customHeight="1">
      <c r="I938" s="33"/>
    </row>
    <row r="939" ht="15.75" customHeight="1">
      <c r="I939" s="33"/>
    </row>
    <row r="940" ht="15.75" customHeight="1">
      <c r="I940" s="33"/>
    </row>
    <row r="941" ht="15.75" customHeight="1">
      <c r="I941" s="33"/>
    </row>
    <row r="942" ht="15.75" customHeight="1">
      <c r="I942" s="33"/>
    </row>
    <row r="943" ht="15.75" customHeight="1">
      <c r="I943" s="33"/>
    </row>
    <row r="944" ht="15.75" customHeight="1">
      <c r="I944" s="33"/>
    </row>
    <row r="945" ht="15.75" customHeight="1">
      <c r="I945" s="33"/>
    </row>
    <row r="946" ht="15.75" customHeight="1">
      <c r="I946" s="33"/>
    </row>
    <row r="947" ht="15.75" customHeight="1">
      <c r="I947" s="33"/>
    </row>
    <row r="948" ht="15.75" customHeight="1">
      <c r="I948" s="33"/>
    </row>
    <row r="949" ht="15.75" customHeight="1">
      <c r="I949" s="33"/>
    </row>
    <row r="950" ht="15.75" customHeight="1">
      <c r="I950" s="33"/>
    </row>
    <row r="951" ht="15.75" customHeight="1">
      <c r="I951" s="33"/>
    </row>
    <row r="952" ht="15.75" customHeight="1">
      <c r="I952" s="33"/>
    </row>
    <row r="953" ht="15.75" customHeight="1">
      <c r="I953" s="33"/>
    </row>
    <row r="954" ht="15.75" customHeight="1">
      <c r="I954" s="33"/>
    </row>
    <row r="955" ht="15.75" customHeight="1">
      <c r="I955" s="33"/>
    </row>
    <row r="956" ht="15.75" customHeight="1">
      <c r="I956" s="33"/>
    </row>
    <row r="957" ht="15.75" customHeight="1">
      <c r="I957" s="33"/>
    </row>
    <row r="958" ht="15.75" customHeight="1">
      <c r="I958" s="33"/>
    </row>
    <row r="959" ht="15.75" customHeight="1">
      <c r="I959" s="33"/>
    </row>
    <row r="960" ht="15.75" customHeight="1">
      <c r="I960" s="33"/>
    </row>
    <row r="961" ht="15.75" customHeight="1">
      <c r="I961" s="33"/>
    </row>
    <row r="962" ht="15.75" customHeight="1">
      <c r="I962" s="33"/>
    </row>
    <row r="963" ht="15.75" customHeight="1">
      <c r="I963" s="33"/>
    </row>
    <row r="964" ht="15.75" customHeight="1">
      <c r="I964" s="33"/>
    </row>
    <row r="965" ht="15.75" customHeight="1">
      <c r="I965" s="33"/>
    </row>
    <row r="966" ht="15.75" customHeight="1">
      <c r="I966" s="33"/>
    </row>
    <row r="967" ht="15.75" customHeight="1">
      <c r="I967" s="33"/>
    </row>
    <row r="968" ht="15.75" customHeight="1">
      <c r="I968" s="33"/>
    </row>
    <row r="969" ht="15.75" customHeight="1">
      <c r="I969" s="33"/>
    </row>
    <row r="970" ht="15.75" customHeight="1">
      <c r="I970" s="33"/>
    </row>
    <row r="971" ht="15.75" customHeight="1">
      <c r="I971" s="33"/>
    </row>
    <row r="972" ht="15.75" customHeight="1">
      <c r="I972" s="33"/>
    </row>
    <row r="973" ht="15.75" customHeight="1">
      <c r="I973" s="33"/>
    </row>
    <row r="974" ht="15.75" customHeight="1">
      <c r="I974" s="33"/>
    </row>
    <row r="975" ht="15.75" customHeight="1">
      <c r="I975" s="33"/>
    </row>
    <row r="976" ht="15.75" customHeight="1">
      <c r="I976" s="33"/>
    </row>
    <row r="977" ht="15.75" customHeight="1">
      <c r="I977" s="33"/>
    </row>
    <row r="978" ht="15.75" customHeight="1">
      <c r="I978" s="33"/>
    </row>
    <row r="979" ht="15.75" customHeight="1">
      <c r="I979" s="33"/>
    </row>
    <row r="980" ht="15.75" customHeight="1">
      <c r="I980" s="33"/>
    </row>
    <row r="981" ht="15.75" customHeight="1">
      <c r="I981" s="33"/>
    </row>
    <row r="982" ht="15.75" customHeight="1">
      <c r="I982" s="33"/>
    </row>
    <row r="983" ht="15.75" customHeight="1">
      <c r="I983" s="33"/>
    </row>
    <row r="984" ht="15.75" customHeight="1">
      <c r="I984" s="33"/>
    </row>
    <row r="985" ht="15.75" customHeight="1">
      <c r="I985" s="33"/>
    </row>
    <row r="986" ht="15.75" customHeight="1">
      <c r="I986" s="33"/>
    </row>
    <row r="987" ht="15.75" customHeight="1">
      <c r="I987" s="33"/>
    </row>
    <row r="988" ht="15.75" customHeight="1">
      <c r="I988" s="33"/>
    </row>
    <row r="989" ht="15.75" customHeight="1">
      <c r="I989" s="33"/>
    </row>
    <row r="990" ht="15.75" customHeight="1">
      <c r="I990" s="33"/>
    </row>
    <row r="991" ht="15.75" customHeight="1">
      <c r="I991" s="33"/>
    </row>
    <row r="992" ht="15.75" customHeight="1">
      <c r="I992" s="33"/>
    </row>
    <row r="993" ht="15.75" customHeight="1">
      <c r="I993" s="33"/>
    </row>
    <row r="994" ht="15.75" customHeight="1">
      <c r="I994" s="33"/>
    </row>
    <row r="995" ht="15.75" customHeight="1">
      <c r="I995" s="33"/>
    </row>
    <row r="996" ht="15.75" customHeight="1">
      <c r="I996" s="33"/>
    </row>
    <row r="997" ht="15.75" customHeight="1">
      <c r="I997" s="33"/>
    </row>
    <row r="998" ht="15.75" customHeight="1">
      <c r="I998" s="33"/>
    </row>
    <row r="999" ht="15.75" customHeight="1">
      <c r="I999" s="33"/>
    </row>
    <row r="1000" ht="15.75" customHeight="1">
      <c r="I1000" s="33"/>
    </row>
    <row r="1001" ht="15.75" customHeight="1">
      <c r="I1001" s="33"/>
    </row>
    <row r="1002" ht="15.75" customHeight="1">
      <c r="I1002" s="33"/>
    </row>
    <row r="1003" ht="15.75" customHeight="1">
      <c r="I1003" s="33"/>
    </row>
  </sheetData>
  <conditionalFormatting sqref="A2:Y1001">
    <cfRule type="expression" dxfId="0" priority="1">
      <formula>$T2&gt;0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11"/>
    <col customWidth="1" min="3" max="3" width="30.22"/>
    <col customWidth="1" min="4" max="4" width="34.33"/>
    <col customWidth="1" min="5" max="9" width="10.56"/>
    <col customWidth="1" min="10" max="10" width="18.22"/>
    <col customWidth="1" min="11" max="11" width="10.56"/>
    <col customWidth="1" min="12" max="12" width="11.89"/>
    <col customWidth="1" min="13" max="13" width="10.56"/>
    <col customWidth="1" min="14" max="14" width="15.56"/>
    <col customWidth="1" min="15" max="15" width="16.22"/>
    <col customWidth="1" min="16" max="16" width="15.11"/>
    <col customWidth="1" min="17" max="17" width="10.56"/>
    <col customWidth="1" min="18" max="18" width="16.22"/>
    <col customWidth="1" min="19" max="24" width="10.56"/>
  </cols>
  <sheetData>
    <row r="1" ht="15.75" customHeight="1">
      <c r="A1" s="4" t="s">
        <v>108</v>
      </c>
      <c r="B1" s="4" t="s">
        <v>44</v>
      </c>
      <c r="C1" s="4" t="s">
        <v>9</v>
      </c>
      <c r="D1" s="17" t="s">
        <v>45</v>
      </c>
      <c r="E1" s="17" t="s">
        <v>46</v>
      </c>
      <c r="F1" s="17" t="s">
        <v>47</v>
      </c>
      <c r="G1" s="18" t="s">
        <v>48</v>
      </c>
      <c r="H1" s="18" t="s">
        <v>49</v>
      </c>
      <c r="I1" s="18" t="s">
        <v>50</v>
      </c>
      <c r="J1" s="4" t="s">
        <v>2</v>
      </c>
      <c r="K1" s="4" t="s">
        <v>51</v>
      </c>
      <c r="L1" s="4" t="s">
        <v>52</v>
      </c>
      <c r="M1" s="4" t="s">
        <v>53</v>
      </c>
      <c r="N1" s="16" t="s">
        <v>54</v>
      </c>
      <c r="O1" s="16" t="s">
        <v>55</v>
      </c>
      <c r="P1" s="16" t="s">
        <v>56</v>
      </c>
      <c r="Q1" s="19" t="s">
        <v>57</v>
      </c>
      <c r="R1" s="16" t="s">
        <v>58</v>
      </c>
      <c r="T1" s="20" t="s">
        <v>59</v>
      </c>
    </row>
    <row r="2" ht="15.75" customHeight="1">
      <c r="A2" s="25">
        <v>45601.84649305556</v>
      </c>
      <c r="B2" s="22">
        <f t="shared" ref="B2:B25" si="1">A2-time(11,0,0)</f>
        <v>45601.38816</v>
      </c>
      <c r="C2" s="11" t="s">
        <v>71</v>
      </c>
      <c r="D2" s="11" t="s">
        <v>194</v>
      </c>
      <c r="E2" s="12">
        <v>-14.3465</v>
      </c>
      <c r="F2" s="12">
        <v>-170.7745</v>
      </c>
      <c r="G2" s="12" t="s">
        <v>62</v>
      </c>
      <c r="H2" s="12" t="s">
        <v>63</v>
      </c>
      <c r="I2" s="12">
        <f>19.2229032097415</f>
        <v>19.22290321</v>
      </c>
      <c r="J2" s="12"/>
      <c r="K2" s="11" t="s">
        <v>64</v>
      </c>
      <c r="L2" s="11" t="s">
        <v>65</v>
      </c>
      <c r="M2" s="11"/>
      <c r="N2" s="11">
        <v>-0.72</v>
      </c>
      <c r="O2" s="11">
        <v>-1.18</v>
      </c>
      <c r="P2" s="23">
        <f t="shared" ref="P2:P25" si="2">N2-O2</f>
        <v>0.46</v>
      </c>
      <c r="Q2" s="24">
        <f t="shared" ref="Q2:Q25" si="3">P2/3.281</f>
        <v>0.1402011582</v>
      </c>
      <c r="R2" s="11">
        <v>0.0</v>
      </c>
      <c r="S2" s="12"/>
      <c r="T2" s="12" t="s">
        <v>66</v>
      </c>
      <c r="U2" s="12"/>
      <c r="V2" s="12"/>
      <c r="W2" s="12"/>
      <c r="X2" s="12"/>
    </row>
    <row r="3" ht="15.75" customHeight="1">
      <c r="A3" s="25">
        <v>45610.41688657407</v>
      </c>
      <c r="B3" s="22">
        <f t="shared" si="1"/>
        <v>45609.95855</v>
      </c>
      <c r="C3" s="11" t="s">
        <v>82</v>
      </c>
      <c r="D3" s="12" t="s">
        <v>195</v>
      </c>
      <c r="E3" s="12">
        <v>-14.3438</v>
      </c>
      <c r="F3" s="12">
        <v>-170.772</v>
      </c>
      <c r="G3" s="12" t="s">
        <v>68</v>
      </c>
      <c r="H3" s="12" t="s">
        <v>69</v>
      </c>
      <c r="I3" s="12">
        <f>15.7760656774176</f>
        <v>15.77606568</v>
      </c>
      <c r="K3" s="11" t="s">
        <v>64</v>
      </c>
      <c r="L3" s="11" t="s">
        <v>65</v>
      </c>
      <c r="M3" s="11"/>
      <c r="N3" s="11">
        <v>-3.14</v>
      </c>
      <c r="O3" s="11">
        <v>-1.18</v>
      </c>
      <c r="P3" s="23">
        <f t="shared" si="2"/>
        <v>-1.96</v>
      </c>
      <c r="Q3" s="24">
        <f t="shared" si="3"/>
        <v>-0.5973788479</v>
      </c>
      <c r="R3" s="11">
        <v>0.0</v>
      </c>
      <c r="T3" s="12" t="s">
        <v>70</v>
      </c>
    </row>
    <row r="4" ht="15.75" customHeight="1">
      <c r="A4" s="25">
        <v>45617.90070601852</v>
      </c>
      <c r="B4" s="22">
        <f t="shared" si="1"/>
        <v>45617.44237</v>
      </c>
      <c r="C4" s="11" t="s">
        <v>71</v>
      </c>
      <c r="D4" s="12" t="s">
        <v>196</v>
      </c>
      <c r="E4" s="12">
        <v>-14.3453</v>
      </c>
      <c r="F4" s="12">
        <v>-170.7723</v>
      </c>
      <c r="G4" s="12" t="s">
        <v>62</v>
      </c>
      <c r="H4" s="12" t="s">
        <v>63</v>
      </c>
      <c r="I4" s="12">
        <f>30.3873235530951</f>
        <v>30.38732355</v>
      </c>
      <c r="J4" s="12"/>
      <c r="K4" s="11" t="s">
        <v>64</v>
      </c>
      <c r="L4" s="11" t="s">
        <v>64</v>
      </c>
      <c r="M4" s="11"/>
      <c r="N4" s="11">
        <v>-0.85</v>
      </c>
      <c r="O4" s="11">
        <v>-1.18</v>
      </c>
      <c r="P4" s="23">
        <f t="shared" si="2"/>
        <v>0.33</v>
      </c>
      <c r="Q4" s="24">
        <f t="shared" si="3"/>
        <v>0.1005790917</v>
      </c>
      <c r="R4" s="11">
        <v>0.0</v>
      </c>
      <c r="S4" s="12"/>
      <c r="T4" s="12" t="s">
        <v>73</v>
      </c>
      <c r="U4" s="12"/>
      <c r="V4" s="12"/>
      <c r="W4" s="12"/>
      <c r="X4" s="12"/>
    </row>
    <row r="5" ht="15.75" customHeight="1">
      <c r="A5" s="25">
        <v>45645.35380787037</v>
      </c>
      <c r="B5" s="22">
        <f t="shared" si="1"/>
        <v>45644.89547</v>
      </c>
      <c r="C5" s="11" t="s">
        <v>26</v>
      </c>
      <c r="D5" s="12" t="s">
        <v>197</v>
      </c>
      <c r="E5" s="12">
        <v>-14.3453</v>
      </c>
      <c r="F5" s="12">
        <v>-170.7723</v>
      </c>
      <c r="G5" s="12" t="s">
        <v>68</v>
      </c>
      <c r="H5" s="12" t="s">
        <v>69</v>
      </c>
      <c r="I5" s="12">
        <f>33.7317230844005</f>
        <v>33.73172308</v>
      </c>
      <c r="J5" s="12"/>
      <c r="K5" s="11" t="s">
        <v>64</v>
      </c>
      <c r="L5" s="11" t="s">
        <v>64</v>
      </c>
      <c r="M5" s="11" t="s">
        <v>75</v>
      </c>
      <c r="N5" s="11">
        <v>-0.28</v>
      </c>
      <c r="O5" s="11">
        <v>-1.18</v>
      </c>
      <c r="P5" s="23">
        <f t="shared" si="2"/>
        <v>0.9</v>
      </c>
      <c r="Q5" s="24">
        <f t="shared" si="3"/>
        <v>0.2743066138</v>
      </c>
      <c r="R5" s="11">
        <v>0.0</v>
      </c>
      <c r="S5" s="12"/>
      <c r="T5" s="12"/>
      <c r="U5" s="12"/>
      <c r="V5" s="12"/>
      <c r="W5" s="12"/>
      <c r="X5" s="12"/>
    </row>
    <row r="6" ht="15.75" customHeight="1">
      <c r="A6" s="25">
        <v>45649.36387731481</v>
      </c>
      <c r="B6" s="22">
        <f t="shared" si="1"/>
        <v>45648.90554</v>
      </c>
      <c r="C6" s="11" t="s">
        <v>77</v>
      </c>
      <c r="D6" s="12" t="s">
        <v>198</v>
      </c>
      <c r="E6" s="12">
        <v>-14.3471</v>
      </c>
      <c r="F6" s="12">
        <v>-170.7705</v>
      </c>
      <c r="G6" s="12" t="s">
        <v>68</v>
      </c>
      <c r="H6" s="12" t="s">
        <v>63</v>
      </c>
      <c r="I6" s="12">
        <f>20.7315251106729</f>
        <v>20.73152511</v>
      </c>
      <c r="J6" s="11" t="s">
        <v>199</v>
      </c>
      <c r="K6" s="11" t="s">
        <v>64</v>
      </c>
      <c r="L6" s="11" t="s">
        <v>65</v>
      </c>
      <c r="M6" s="11" t="s">
        <v>75</v>
      </c>
      <c r="N6" s="11">
        <v>-1.34</v>
      </c>
      <c r="O6" s="11">
        <v>-1.18</v>
      </c>
      <c r="P6" s="23">
        <f t="shared" si="2"/>
        <v>-0.16</v>
      </c>
      <c r="Q6" s="24">
        <f t="shared" si="3"/>
        <v>-0.04876562024</v>
      </c>
      <c r="R6" s="11">
        <v>0.0</v>
      </c>
    </row>
    <row r="7" ht="15.75" customHeight="1">
      <c r="A7" s="25">
        <v>45663.36549768518</v>
      </c>
      <c r="B7" s="22">
        <f t="shared" si="1"/>
        <v>45662.90716</v>
      </c>
      <c r="C7" s="11" t="s">
        <v>77</v>
      </c>
      <c r="D7" s="12" t="s">
        <v>200</v>
      </c>
      <c r="E7" s="12">
        <v>-14.3443</v>
      </c>
      <c r="F7" s="12">
        <v>-170.7753</v>
      </c>
      <c r="G7" s="12" t="s">
        <v>68</v>
      </c>
      <c r="H7" s="12" t="s">
        <v>63</v>
      </c>
      <c r="I7" s="12">
        <f>22.5531237182848</f>
        <v>22.55312372</v>
      </c>
      <c r="J7" s="11" t="s">
        <v>201</v>
      </c>
      <c r="K7" s="11" t="s">
        <v>64</v>
      </c>
      <c r="L7" s="11" t="s">
        <v>64</v>
      </c>
      <c r="M7" s="11"/>
      <c r="N7" s="11">
        <v>-0.57</v>
      </c>
      <c r="O7" s="11">
        <v>-1.18</v>
      </c>
      <c r="P7" s="23">
        <f t="shared" si="2"/>
        <v>0.61</v>
      </c>
      <c r="Q7" s="24">
        <f t="shared" si="3"/>
        <v>0.1859189272</v>
      </c>
      <c r="R7" s="11">
        <v>0.0</v>
      </c>
      <c r="S7" s="12"/>
      <c r="T7" s="12"/>
      <c r="U7" s="12"/>
      <c r="V7" s="12"/>
      <c r="W7" s="12"/>
      <c r="X7" s="12"/>
    </row>
    <row r="8" ht="15.75" customHeight="1">
      <c r="A8" s="25">
        <v>45666.40384259259</v>
      </c>
      <c r="B8" s="22">
        <f t="shared" si="1"/>
        <v>45665.94551</v>
      </c>
      <c r="C8" s="11" t="s">
        <v>71</v>
      </c>
      <c r="D8" s="12" t="s">
        <v>202</v>
      </c>
      <c r="E8" s="12">
        <v>-14.3428</v>
      </c>
      <c r="F8" s="12">
        <v>-170.7751</v>
      </c>
      <c r="G8" s="12" t="s">
        <v>68</v>
      </c>
      <c r="H8" s="12" t="s">
        <v>69</v>
      </c>
      <c r="I8" s="12">
        <f>28.7918916805785</f>
        <v>28.79189168</v>
      </c>
      <c r="K8" s="11" t="s">
        <v>64</v>
      </c>
      <c r="L8" s="11" t="s">
        <v>64</v>
      </c>
      <c r="M8" s="11"/>
      <c r="N8" s="11">
        <v>-1.98</v>
      </c>
      <c r="O8" s="11">
        <v>-1.18</v>
      </c>
      <c r="P8" s="23">
        <f t="shared" si="2"/>
        <v>-0.8</v>
      </c>
      <c r="Q8" s="24">
        <f t="shared" si="3"/>
        <v>-0.2438281012</v>
      </c>
      <c r="R8" s="11">
        <v>0.0</v>
      </c>
    </row>
    <row r="9" ht="15.75" customHeight="1">
      <c r="A9" s="25">
        <v>45667.90201388889</v>
      </c>
      <c r="B9" s="22">
        <f t="shared" si="1"/>
        <v>45667.44368</v>
      </c>
      <c r="C9" s="11" t="s">
        <v>71</v>
      </c>
      <c r="D9" s="12" t="s">
        <v>203</v>
      </c>
      <c r="E9" s="12">
        <v>-14.3431</v>
      </c>
      <c r="F9" s="12">
        <v>-170.7773</v>
      </c>
      <c r="G9" s="12" t="s">
        <v>62</v>
      </c>
      <c r="H9" s="12" t="s">
        <v>63</v>
      </c>
      <c r="I9" s="12">
        <f>30.494961088855</f>
        <v>30.49496109</v>
      </c>
      <c r="K9" s="11" t="s">
        <v>64</v>
      </c>
      <c r="L9" s="11" t="s">
        <v>64</v>
      </c>
      <c r="M9" s="11"/>
      <c r="N9" s="11">
        <v>-2.47</v>
      </c>
      <c r="O9" s="11">
        <v>-1.18</v>
      </c>
      <c r="P9" s="23">
        <f t="shared" si="2"/>
        <v>-1.29</v>
      </c>
      <c r="Q9" s="24">
        <f t="shared" si="3"/>
        <v>-0.3931728132</v>
      </c>
      <c r="R9" s="11">
        <v>0.09</v>
      </c>
    </row>
    <row r="10" ht="15.75" customHeight="1">
      <c r="A10" s="25">
        <v>45698.85822916667</v>
      </c>
      <c r="B10" s="22">
        <f t="shared" si="1"/>
        <v>45698.3999</v>
      </c>
      <c r="C10" s="11" t="s">
        <v>82</v>
      </c>
      <c r="D10" s="12" t="s">
        <v>204</v>
      </c>
      <c r="E10" s="12">
        <v>-14.3435</v>
      </c>
      <c r="F10" s="12">
        <v>-170.7746</v>
      </c>
      <c r="G10" s="11" t="s">
        <v>62</v>
      </c>
      <c r="H10" s="11" t="s">
        <v>69</v>
      </c>
      <c r="I10" s="12">
        <f>22.2785486613155</f>
        <v>22.27854866</v>
      </c>
      <c r="K10" s="11" t="s">
        <v>64</v>
      </c>
      <c r="L10" s="11" t="s">
        <v>64</v>
      </c>
      <c r="M10" s="11" t="s">
        <v>75</v>
      </c>
      <c r="N10" s="11">
        <v>-1.83</v>
      </c>
      <c r="O10" s="11">
        <v>-1.18</v>
      </c>
      <c r="P10" s="23">
        <f t="shared" si="2"/>
        <v>-0.65</v>
      </c>
      <c r="Q10" s="24">
        <f t="shared" si="3"/>
        <v>-0.1981103322</v>
      </c>
      <c r="R10" s="11">
        <v>0.0</v>
      </c>
    </row>
    <row r="11" ht="15.75" customHeight="1">
      <c r="A11" s="25">
        <v>45702.357766203706</v>
      </c>
      <c r="B11" s="22">
        <f t="shared" si="1"/>
        <v>45701.89943</v>
      </c>
      <c r="C11" s="11" t="s">
        <v>205</v>
      </c>
      <c r="D11" s="12" t="s">
        <v>206</v>
      </c>
      <c r="E11" s="12">
        <v>-14.3449</v>
      </c>
      <c r="F11" s="12">
        <v>-170.7726</v>
      </c>
      <c r="G11" s="11" t="s">
        <v>68</v>
      </c>
      <c r="H11" s="11" t="s">
        <v>69</v>
      </c>
      <c r="I11" s="12">
        <f>18.0730717306758</f>
        <v>18.07307173</v>
      </c>
      <c r="J11" s="12"/>
      <c r="K11" s="11" t="s">
        <v>64</v>
      </c>
      <c r="L11" s="11" t="s">
        <v>65</v>
      </c>
      <c r="M11" s="11"/>
      <c r="N11" s="11">
        <v>-0.1</v>
      </c>
      <c r="O11" s="11">
        <v>-1.18</v>
      </c>
      <c r="P11" s="23">
        <f t="shared" si="2"/>
        <v>1.08</v>
      </c>
      <c r="Q11" s="24">
        <f t="shared" si="3"/>
        <v>0.3291679366</v>
      </c>
      <c r="R11" s="11">
        <v>0.0</v>
      </c>
      <c r="S11" s="12"/>
      <c r="T11" s="12"/>
      <c r="U11" s="12"/>
      <c r="V11" s="12"/>
      <c r="W11" s="12"/>
      <c r="X11" s="12"/>
    </row>
    <row r="12" ht="15.75" customHeight="1">
      <c r="A12" s="25">
        <v>45706.35658564815</v>
      </c>
      <c r="B12" s="22">
        <f t="shared" si="1"/>
        <v>45705.89825</v>
      </c>
      <c r="C12" s="11" t="s">
        <v>71</v>
      </c>
      <c r="D12" s="12" t="s">
        <v>207</v>
      </c>
      <c r="E12" s="12">
        <v>-14.3425</v>
      </c>
      <c r="F12" s="12">
        <v>-170.7723</v>
      </c>
      <c r="G12" s="11" t="s">
        <v>68</v>
      </c>
      <c r="H12" s="11" t="s">
        <v>69</v>
      </c>
      <c r="I12" s="12">
        <f> 23.8022108772501</f>
        <v>23.80221088</v>
      </c>
      <c r="J12" s="12"/>
      <c r="K12" s="11" t="s">
        <v>64</v>
      </c>
      <c r="L12" s="11" t="s">
        <v>65</v>
      </c>
      <c r="M12" s="11"/>
      <c r="N12" s="11">
        <v>-0.37</v>
      </c>
      <c r="O12" s="11">
        <v>-1.18</v>
      </c>
      <c r="P12" s="23">
        <f t="shared" si="2"/>
        <v>0.81</v>
      </c>
      <c r="Q12" s="24">
        <f t="shared" si="3"/>
        <v>0.2468759525</v>
      </c>
      <c r="R12" s="11">
        <v>0.0</v>
      </c>
      <c r="S12" s="12"/>
      <c r="T12" s="12"/>
      <c r="U12" s="12"/>
      <c r="V12" s="12"/>
      <c r="W12" s="12"/>
      <c r="X12" s="12"/>
    </row>
    <row r="13" ht="15.75" customHeight="1">
      <c r="A13" s="25">
        <v>45728.364907407406</v>
      </c>
      <c r="B13" s="22">
        <f t="shared" si="1"/>
        <v>45727.90657</v>
      </c>
      <c r="C13" s="11" t="s">
        <v>82</v>
      </c>
      <c r="D13" s="11" t="s">
        <v>208</v>
      </c>
      <c r="E13" s="27">
        <v>-14.3453</v>
      </c>
      <c r="F13" s="27">
        <v>-170.7712</v>
      </c>
      <c r="G13" s="11" t="s">
        <v>68</v>
      </c>
      <c r="H13" s="11" t="s">
        <v>63</v>
      </c>
      <c r="I13" s="12">
        <f>25.1627747275999</f>
        <v>25.16277473</v>
      </c>
      <c r="K13" s="11" t="s">
        <v>64</v>
      </c>
      <c r="L13" s="11" t="s">
        <v>65</v>
      </c>
      <c r="M13" s="11" t="s">
        <v>75</v>
      </c>
      <c r="N13" s="11">
        <v>-1.82</v>
      </c>
      <c r="O13" s="11">
        <v>-1.18</v>
      </c>
      <c r="P13" s="23">
        <f t="shared" si="2"/>
        <v>-0.64</v>
      </c>
      <c r="Q13" s="24">
        <f t="shared" si="3"/>
        <v>-0.195062481</v>
      </c>
      <c r="R13" s="11">
        <v>0.0</v>
      </c>
    </row>
    <row r="14" ht="15.75" customHeight="1">
      <c r="A14" s="25">
        <v>45736.918391203704</v>
      </c>
      <c r="B14" s="22">
        <f t="shared" si="1"/>
        <v>45736.46006</v>
      </c>
      <c r="C14" s="11" t="s">
        <v>71</v>
      </c>
      <c r="D14" s="26" t="s">
        <v>209</v>
      </c>
      <c r="E14" s="27">
        <v>-14.345</v>
      </c>
      <c r="F14" s="27">
        <v>-170.7707</v>
      </c>
      <c r="G14" s="11" t="s">
        <v>62</v>
      </c>
      <c r="H14" s="11" t="s">
        <v>69</v>
      </c>
      <c r="I14" s="11">
        <v>28.8534004248886</v>
      </c>
      <c r="J14" s="12"/>
      <c r="K14" s="11" t="s">
        <v>64</v>
      </c>
      <c r="L14" s="11" t="s">
        <v>64</v>
      </c>
      <c r="M14" s="11" t="s">
        <v>75</v>
      </c>
      <c r="N14" s="11">
        <v>-0.33</v>
      </c>
      <c r="O14" s="11">
        <v>-1.18</v>
      </c>
      <c r="P14" s="23">
        <f t="shared" si="2"/>
        <v>0.85</v>
      </c>
      <c r="Q14" s="24">
        <f t="shared" si="3"/>
        <v>0.2590673575</v>
      </c>
      <c r="R14" s="11">
        <v>0.0</v>
      </c>
      <c r="S14" s="12"/>
      <c r="T14" s="12"/>
      <c r="U14" s="12"/>
      <c r="V14" s="12"/>
      <c r="W14" s="12"/>
      <c r="X14" s="12"/>
    </row>
    <row r="15" ht="15.75" customHeight="1">
      <c r="A15" s="25">
        <v>45737.917546296296</v>
      </c>
      <c r="B15" s="22">
        <f t="shared" si="1"/>
        <v>45737.45921</v>
      </c>
      <c r="C15" s="11" t="s">
        <v>71</v>
      </c>
      <c r="D15" s="26" t="s">
        <v>210</v>
      </c>
      <c r="E15" s="27">
        <v>-14.3455</v>
      </c>
      <c r="F15" s="27">
        <v>-170.7712</v>
      </c>
      <c r="G15" s="11" t="s">
        <v>62</v>
      </c>
      <c r="H15" s="11" t="s">
        <v>69</v>
      </c>
      <c r="I15" s="11">
        <v>26.0001235519771</v>
      </c>
      <c r="J15" s="12"/>
      <c r="K15" s="11" t="s">
        <v>64</v>
      </c>
      <c r="L15" s="11" t="s">
        <v>64</v>
      </c>
      <c r="M15" s="12"/>
      <c r="N15" s="11">
        <v>-0.44</v>
      </c>
      <c r="O15" s="11">
        <v>-1.18</v>
      </c>
      <c r="P15" s="23">
        <f t="shared" si="2"/>
        <v>0.74</v>
      </c>
      <c r="Q15" s="24">
        <f t="shared" si="3"/>
        <v>0.2255409936</v>
      </c>
      <c r="R15" s="11">
        <v>0.0</v>
      </c>
      <c r="S15" s="12"/>
      <c r="T15" s="12"/>
      <c r="U15" s="12"/>
      <c r="V15" s="12"/>
      <c r="W15" s="12"/>
      <c r="X15" s="12"/>
    </row>
    <row r="16" ht="15.75" customHeight="1">
      <c r="A16" s="21">
        <v>45746.90856481482</v>
      </c>
      <c r="B16" s="22">
        <f t="shared" si="1"/>
        <v>45746.45023</v>
      </c>
      <c r="C16" s="11" t="s">
        <v>89</v>
      </c>
      <c r="D16" s="11" t="s">
        <v>211</v>
      </c>
      <c r="E16" s="27">
        <v>-14.3455</v>
      </c>
      <c r="F16" s="27">
        <v>-170.7712</v>
      </c>
      <c r="G16" s="11" t="s">
        <v>62</v>
      </c>
      <c r="H16" s="11" t="s">
        <v>63</v>
      </c>
      <c r="I16" s="11">
        <v>16.5169659747543</v>
      </c>
      <c r="J16" s="11" t="s">
        <v>212</v>
      </c>
      <c r="K16" s="11" t="s">
        <v>64</v>
      </c>
      <c r="L16" s="11" t="s">
        <v>65</v>
      </c>
      <c r="M16" s="12"/>
      <c r="N16" s="11">
        <v>-0.8</v>
      </c>
      <c r="O16" s="11">
        <v>-1.18</v>
      </c>
      <c r="P16" s="23">
        <f t="shared" si="2"/>
        <v>0.38</v>
      </c>
      <c r="Q16" s="24">
        <f t="shared" si="3"/>
        <v>0.1158183481</v>
      </c>
      <c r="R16" s="11">
        <v>0.0</v>
      </c>
      <c r="S16" s="12"/>
      <c r="T16" s="12"/>
      <c r="U16" s="12"/>
      <c r="V16" s="12"/>
      <c r="W16" s="12"/>
      <c r="X16" s="12"/>
    </row>
    <row r="17" ht="15.75" customHeight="1">
      <c r="A17" s="21">
        <v>45761.3683912037</v>
      </c>
      <c r="B17" s="22">
        <f t="shared" si="1"/>
        <v>45760.91006</v>
      </c>
      <c r="C17" s="11" t="s">
        <v>95</v>
      </c>
      <c r="D17" s="26" t="s">
        <v>213</v>
      </c>
      <c r="E17" s="27">
        <v>-14.3453</v>
      </c>
      <c r="F17" s="27">
        <v>-170.7712</v>
      </c>
      <c r="G17" s="11" t="s">
        <v>68</v>
      </c>
      <c r="H17" s="11" t="s">
        <v>63</v>
      </c>
      <c r="I17" s="11">
        <v>34.078332505571</v>
      </c>
      <c r="J17" s="11" t="s">
        <v>214</v>
      </c>
      <c r="K17" s="11" t="s">
        <v>64</v>
      </c>
      <c r="L17" s="11" t="s">
        <v>64</v>
      </c>
      <c r="M17" s="11" t="s">
        <v>75</v>
      </c>
      <c r="N17" s="11">
        <v>-0.51</v>
      </c>
      <c r="O17" s="11">
        <v>-1.18</v>
      </c>
      <c r="P17" s="23">
        <f t="shared" si="2"/>
        <v>0.67</v>
      </c>
      <c r="Q17" s="24">
        <f t="shared" si="3"/>
        <v>0.2042060347</v>
      </c>
      <c r="R17" s="11">
        <v>0.0</v>
      </c>
      <c r="S17" s="12"/>
      <c r="T17" s="12"/>
      <c r="U17" s="12"/>
      <c r="V17" s="12"/>
      <c r="W17" s="12"/>
      <c r="X17" s="12"/>
    </row>
    <row r="18" ht="15.75" customHeight="1">
      <c r="A18" s="21">
        <v>45784.4087037037</v>
      </c>
      <c r="B18" s="22">
        <f t="shared" si="1"/>
        <v>45783.95037</v>
      </c>
      <c r="C18" s="11" t="s">
        <v>71</v>
      </c>
      <c r="D18" s="26" t="s">
        <v>215</v>
      </c>
      <c r="E18" s="27">
        <v>-14.3455</v>
      </c>
      <c r="F18" s="27">
        <v>-170.7712</v>
      </c>
      <c r="G18" s="11" t="s">
        <v>68</v>
      </c>
      <c r="H18" s="11" t="s">
        <v>69</v>
      </c>
      <c r="I18" s="11">
        <v>22.1599745063814</v>
      </c>
      <c r="K18" s="11" t="s">
        <v>64</v>
      </c>
      <c r="L18" s="11" t="s">
        <v>65</v>
      </c>
      <c r="N18" s="11">
        <v>-2.05</v>
      </c>
      <c r="O18" s="11">
        <v>-1.18</v>
      </c>
      <c r="P18" s="23">
        <f t="shared" si="2"/>
        <v>-0.87</v>
      </c>
      <c r="Q18" s="24">
        <f t="shared" si="3"/>
        <v>-0.26516306</v>
      </c>
      <c r="R18" s="11">
        <v>0.01</v>
      </c>
    </row>
    <row r="19" ht="15.75" customHeight="1">
      <c r="A19" s="21">
        <v>45799.356990740744</v>
      </c>
      <c r="B19" s="22">
        <f t="shared" si="1"/>
        <v>45798.89866</v>
      </c>
      <c r="C19" s="11" t="s">
        <v>97</v>
      </c>
      <c r="D19" s="11" t="s">
        <v>216</v>
      </c>
      <c r="E19" s="27">
        <v>-14.3455</v>
      </c>
      <c r="F19" s="27">
        <v>-170.7712</v>
      </c>
      <c r="G19" s="11" t="s">
        <v>68</v>
      </c>
      <c r="H19" s="11" t="s">
        <v>69</v>
      </c>
      <c r="I19" s="11">
        <v>31.7314521736201</v>
      </c>
      <c r="J19" s="11" t="s">
        <v>217</v>
      </c>
      <c r="K19" s="11" t="s">
        <v>65</v>
      </c>
      <c r="L19" s="11" t="s">
        <v>65</v>
      </c>
      <c r="M19" s="11" t="s">
        <v>75</v>
      </c>
      <c r="N19" s="11">
        <v>-2.33</v>
      </c>
      <c r="O19" s="11">
        <v>-1.18</v>
      </c>
      <c r="P19" s="23">
        <f t="shared" si="2"/>
        <v>-1.15</v>
      </c>
      <c r="Q19" s="24">
        <f t="shared" si="3"/>
        <v>-0.3505028955</v>
      </c>
      <c r="R19" s="11">
        <v>0.0</v>
      </c>
    </row>
    <row r="20" ht="15.75" customHeight="1">
      <c r="A20" s="21">
        <v>45799.850335648145</v>
      </c>
      <c r="B20" s="22">
        <f t="shared" si="1"/>
        <v>45799.392</v>
      </c>
      <c r="C20" s="11" t="s">
        <v>97</v>
      </c>
      <c r="D20" s="11" t="s">
        <v>218</v>
      </c>
      <c r="E20" s="27">
        <v>-14.3455</v>
      </c>
      <c r="F20" s="27">
        <v>-170.7712</v>
      </c>
      <c r="G20" s="11" t="s">
        <v>62</v>
      </c>
      <c r="H20" s="11" t="s">
        <v>63</v>
      </c>
      <c r="I20" s="11">
        <v>15.9115307847835</v>
      </c>
      <c r="J20" s="11" t="s">
        <v>217</v>
      </c>
      <c r="K20" s="11" t="s">
        <v>65</v>
      </c>
      <c r="L20" s="11" t="s">
        <v>65</v>
      </c>
      <c r="N20" s="11">
        <v>-2.48</v>
      </c>
      <c r="O20" s="11">
        <v>-1.18</v>
      </c>
      <c r="P20" s="23">
        <f t="shared" si="2"/>
        <v>-1.3</v>
      </c>
      <c r="Q20" s="24">
        <f t="shared" si="3"/>
        <v>-0.3962206644</v>
      </c>
      <c r="R20" s="11">
        <v>0.02</v>
      </c>
    </row>
    <row r="21" ht="15.75" customHeight="1">
      <c r="A21" s="21">
        <v>45806.41967592593</v>
      </c>
      <c r="B21" s="22">
        <f t="shared" si="1"/>
        <v>45805.96134</v>
      </c>
      <c r="C21" s="11" t="s">
        <v>184</v>
      </c>
      <c r="D21" s="26" t="s">
        <v>219</v>
      </c>
      <c r="E21" s="27">
        <v>-14.3455</v>
      </c>
      <c r="F21" s="27">
        <v>-170.7712</v>
      </c>
      <c r="G21" s="11" t="s">
        <v>68</v>
      </c>
      <c r="H21" s="11" t="s">
        <v>69</v>
      </c>
      <c r="I21" s="11">
        <v>26.7222627065351</v>
      </c>
      <c r="J21" s="11" t="s">
        <v>199</v>
      </c>
      <c r="K21" s="11" t="s">
        <v>65</v>
      </c>
      <c r="L21" s="11" t="s">
        <v>65</v>
      </c>
      <c r="M21" s="11" t="s">
        <v>75</v>
      </c>
      <c r="N21" s="11">
        <v>-0.79</v>
      </c>
      <c r="O21" s="11">
        <v>-1.18</v>
      </c>
      <c r="P21" s="23">
        <f t="shared" si="2"/>
        <v>0.39</v>
      </c>
      <c r="Q21" s="24">
        <f t="shared" si="3"/>
        <v>0.1188661993</v>
      </c>
      <c r="R21" s="11">
        <v>0.0</v>
      </c>
      <c r="S21" s="12"/>
      <c r="T21" s="12"/>
      <c r="U21" s="12"/>
      <c r="V21" s="12"/>
      <c r="W21" s="12"/>
      <c r="X21" s="12"/>
    </row>
    <row r="22" ht="15.75" customHeight="1">
      <c r="A22" s="21">
        <v>45806.419803240744</v>
      </c>
      <c r="B22" s="22">
        <f t="shared" si="1"/>
        <v>45805.96147</v>
      </c>
      <c r="C22" s="11" t="s">
        <v>184</v>
      </c>
      <c r="D22" s="26" t="s">
        <v>220</v>
      </c>
      <c r="E22" s="27">
        <v>-14.3455</v>
      </c>
      <c r="F22" s="27">
        <v>-170.7712</v>
      </c>
      <c r="G22" s="11" t="s">
        <v>68</v>
      </c>
      <c r="H22" s="11" t="s">
        <v>69</v>
      </c>
      <c r="I22" s="11">
        <v>26.2752243940383</v>
      </c>
      <c r="J22" s="11" t="s">
        <v>199</v>
      </c>
      <c r="K22" s="11" t="s">
        <v>65</v>
      </c>
      <c r="L22" s="11" t="s">
        <v>65</v>
      </c>
      <c r="M22" s="11" t="s">
        <v>75</v>
      </c>
      <c r="N22" s="11">
        <v>-0.79</v>
      </c>
      <c r="O22" s="11">
        <v>-1.18</v>
      </c>
      <c r="P22" s="23">
        <f t="shared" si="2"/>
        <v>0.39</v>
      </c>
      <c r="Q22" s="24">
        <f t="shared" si="3"/>
        <v>0.1188661993</v>
      </c>
      <c r="R22" s="11">
        <v>0.0</v>
      </c>
      <c r="S22" s="12"/>
      <c r="T22" s="12"/>
      <c r="U22" s="12"/>
      <c r="V22" s="12"/>
      <c r="W22" s="12"/>
      <c r="X22" s="12"/>
    </row>
    <row r="23" ht="15.75" customHeight="1">
      <c r="A23" s="21">
        <v>45831.41847222222</v>
      </c>
      <c r="B23" s="22">
        <f t="shared" si="1"/>
        <v>45830.96014</v>
      </c>
      <c r="C23" s="11" t="s">
        <v>97</v>
      </c>
      <c r="D23" s="11" t="s">
        <v>221</v>
      </c>
      <c r="E23" s="27">
        <v>-14.3455</v>
      </c>
      <c r="F23" s="27">
        <v>-170.7712</v>
      </c>
      <c r="G23" s="11" t="s">
        <v>68</v>
      </c>
      <c r="H23" s="11" t="s">
        <v>69</v>
      </c>
      <c r="I23" s="11">
        <v>34.0972683904154</v>
      </c>
      <c r="J23" s="11" t="s">
        <v>222</v>
      </c>
      <c r="K23" s="11" t="s">
        <v>65</v>
      </c>
      <c r="L23" s="11" t="s">
        <v>65</v>
      </c>
      <c r="M23" s="11" t="s">
        <v>75</v>
      </c>
      <c r="N23" s="11">
        <v>-2.78</v>
      </c>
      <c r="O23" s="11">
        <v>-1.18</v>
      </c>
      <c r="P23" s="23">
        <f t="shared" si="2"/>
        <v>-1.6</v>
      </c>
      <c r="Q23" s="24">
        <f t="shared" si="3"/>
        <v>-0.4876562024</v>
      </c>
      <c r="R23" s="11">
        <v>0.0</v>
      </c>
    </row>
    <row r="24" ht="15.75" customHeight="1">
      <c r="A24" s="21">
        <v>45832.41537037037</v>
      </c>
      <c r="B24" s="22">
        <f t="shared" si="1"/>
        <v>45831.95704</v>
      </c>
      <c r="C24" s="11" t="s">
        <v>104</v>
      </c>
      <c r="D24" s="11" t="s">
        <v>223</v>
      </c>
      <c r="E24" s="27">
        <v>-14.3455</v>
      </c>
      <c r="F24" s="27">
        <v>-170.7712</v>
      </c>
      <c r="G24" s="11" t="s">
        <v>68</v>
      </c>
      <c r="H24" s="11" t="s">
        <v>69</v>
      </c>
      <c r="I24" s="11">
        <v>40.0026696978841</v>
      </c>
      <c r="J24" s="11" t="s">
        <v>224</v>
      </c>
      <c r="K24" s="11" t="s">
        <v>65</v>
      </c>
      <c r="L24" s="11" t="s">
        <v>65</v>
      </c>
      <c r="M24" s="11" t="s">
        <v>75</v>
      </c>
      <c r="N24" s="11">
        <v>-2.7</v>
      </c>
      <c r="O24" s="11">
        <v>-1.18</v>
      </c>
      <c r="P24" s="23">
        <f t="shared" si="2"/>
        <v>-1.52</v>
      </c>
      <c r="Q24" s="24">
        <f t="shared" si="3"/>
        <v>-0.4632733923</v>
      </c>
      <c r="R24" s="11">
        <v>0.0</v>
      </c>
    </row>
    <row r="25" ht="15.75" customHeight="1">
      <c r="A25" s="21">
        <v>45834.90101851852</v>
      </c>
      <c r="B25" s="22">
        <f t="shared" si="1"/>
        <v>45834.44269</v>
      </c>
      <c r="C25" s="11" t="s">
        <v>104</v>
      </c>
      <c r="D25" s="11" t="s">
        <v>225</v>
      </c>
      <c r="E25" s="27">
        <v>-14.3455</v>
      </c>
      <c r="F25" s="27">
        <v>-170.7712</v>
      </c>
      <c r="G25" s="11" t="s">
        <v>62</v>
      </c>
      <c r="H25" s="11" t="s">
        <v>63</v>
      </c>
      <c r="I25" s="11">
        <v>19.9460601138873</v>
      </c>
      <c r="J25" s="11" t="s">
        <v>156</v>
      </c>
      <c r="K25" s="11" t="s">
        <v>65</v>
      </c>
      <c r="L25" s="11" t="s">
        <v>65</v>
      </c>
      <c r="N25" s="11">
        <v>-0.79</v>
      </c>
      <c r="O25" s="11">
        <v>-1.18</v>
      </c>
      <c r="P25" s="23">
        <f t="shared" si="2"/>
        <v>0.39</v>
      </c>
      <c r="Q25" s="24">
        <f t="shared" si="3"/>
        <v>0.1188661993</v>
      </c>
      <c r="R25" s="11">
        <v>0.0</v>
      </c>
    </row>
    <row r="26" ht="15.75" customHeight="1">
      <c r="O26" s="11"/>
      <c r="P26" s="23"/>
      <c r="Q26" s="24"/>
    </row>
    <row r="27" ht="15.75" customHeight="1">
      <c r="O27" s="11"/>
      <c r="P27" s="23"/>
      <c r="Q27" s="2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X100">
    <cfRule type="expression" dxfId="0" priority="1">
      <formula>$N2&gt;0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22"/>
    <col customWidth="1" min="3" max="3" width="31.11"/>
    <col customWidth="1" min="4" max="4" width="36.0"/>
    <col customWidth="1" min="5" max="9" width="10.56"/>
    <col customWidth="1" min="10" max="10" width="22.44"/>
    <col customWidth="1" min="11" max="13" width="10.56"/>
    <col customWidth="1" min="14" max="14" width="16.22"/>
    <col customWidth="1" min="15" max="15" width="20.0"/>
    <col customWidth="1" min="16" max="16" width="10.56"/>
    <col customWidth="1" min="17" max="17" width="24.0"/>
    <col customWidth="1" min="18" max="18" width="16.22"/>
    <col customWidth="1" min="19" max="19" width="19.0"/>
    <col customWidth="1" min="20" max="20" width="10.56"/>
    <col customWidth="1" min="21" max="21" width="19.67"/>
    <col customWidth="1" min="22" max="29" width="10.56"/>
  </cols>
  <sheetData>
    <row r="1">
      <c r="A1" s="16" t="s">
        <v>108</v>
      </c>
      <c r="B1" s="16" t="s">
        <v>44</v>
      </c>
      <c r="C1" s="16" t="s">
        <v>9</v>
      </c>
      <c r="D1" s="30" t="s">
        <v>45</v>
      </c>
      <c r="E1" s="30" t="s">
        <v>46</v>
      </c>
      <c r="F1" s="30" t="s">
        <v>47</v>
      </c>
      <c r="G1" s="31" t="s">
        <v>48</v>
      </c>
      <c r="H1" s="31" t="s">
        <v>49</v>
      </c>
      <c r="I1" s="31" t="s">
        <v>50</v>
      </c>
      <c r="J1" s="16" t="s">
        <v>2</v>
      </c>
      <c r="K1" s="16" t="s">
        <v>51</v>
      </c>
      <c r="L1" s="16" t="s">
        <v>52</v>
      </c>
      <c r="M1" s="16" t="s">
        <v>53</v>
      </c>
      <c r="N1" s="16" t="s">
        <v>226</v>
      </c>
      <c r="O1" s="16" t="s">
        <v>159</v>
      </c>
      <c r="P1" s="16" t="s">
        <v>227</v>
      </c>
      <c r="Q1" s="16" t="s">
        <v>54</v>
      </c>
      <c r="R1" s="16" t="s">
        <v>55</v>
      </c>
      <c r="S1" s="16" t="s">
        <v>56</v>
      </c>
      <c r="T1" s="19" t="s">
        <v>57</v>
      </c>
      <c r="U1" s="16" t="s">
        <v>58</v>
      </c>
      <c r="V1" s="23"/>
      <c r="W1" s="20" t="s">
        <v>59</v>
      </c>
      <c r="X1" s="23"/>
      <c r="Y1" s="23"/>
      <c r="Z1" s="23"/>
      <c r="AA1" s="23"/>
      <c r="AB1" s="23"/>
      <c r="AC1" s="23"/>
    </row>
    <row r="2" ht="15.75" customHeight="1">
      <c r="A2" s="25">
        <v>45583.90107638889</v>
      </c>
      <c r="B2" s="22">
        <f t="shared" ref="B2:B30" si="1">A2-time(11,0,0)</f>
        <v>45583.44274</v>
      </c>
      <c r="C2" s="11" t="s">
        <v>71</v>
      </c>
      <c r="D2" s="12" t="s">
        <v>228</v>
      </c>
      <c r="E2" s="12">
        <v>-14.1689</v>
      </c>
      <c r="F2" s="12">
        <v>-169.6685</v>
      </c>
      <c r="G2" s="12" t="s">
        <v>62</v>
      </c>
      <c r="H2" s="12" t="s">
        <v>63</v>
      </c>
      <c r="I2" s="12">
        <v>19.43237249</v>
      </c>
      <c r="J2" s="11" t="s">
        <v>229</v>
      </c>
      <c r="K2" s="11" t="s">
        <v>64</v>
      </c>
      <c r="L2" s="11" t="s">
        <v>64</v>
      </c>
      <c r="M2" s="11" t="s">
        <v>75</v>
      </c>
      <c r="N2" s="11">
        <v>1.589</v>
      </c>
      <c r="O2" s="11">
        <v>1.58</v>
      </c>
      <c r="P2" s="11">
        <f t="shared" ref="P2:P30" si="2">N2-O2</f>
        <v>0.009</v>
      </c>
      <c r="Q2" s="11">
        <v>-1.36</v>
      </c>
      <c r="R2" s="11">
        <v>-1.18</v>
      </c>
      <c r="S2" s="23">
        <f t="shared" ref="S2:S30" si="3">Q2-R2</f>
        <v>-0.18</v>
      </c>
      <c r="T2" s="24">
        <f t="shared" ref="T2:T30" si="4">S2/3.281</f>
        <v>-0.05486132277</v>
      </c>
      <c r="U2" s="11">
        <v>0.0</v>
      </c>
      <c r="W2" s="12" t="s">
        <v>66</v>
      </c>
    </row>
    <row r="3" ht="15.75" customHeight="1">
      <c r="A3" s="25">
        <v>45590.420219907406</v>
      </c>
      <c r="B3" s="22">
        <f t="shared" si="1"/>
        <v>45589.96189</v>
      </c>
      <c r="C3" s="11" t="s">
        <v>26</v>
      </c>
      <c r="D3" s="11" t="s">
        <v>230</v>
      </c>
      <c r="E3" s="12">
        <v>-14.1736</v>
      </c>
      <c r="F3" s="12">
        <v>-169.6697</v>
      </c>
      <c r="G3" s="12" t="s">
        <v>68</v>
      </c>
      <c r="H3" s="12" t="s">
        <v>63</v>
      </c>
      <c r="I3" s="12">
        <v>18.26716292</v>
      </c>
      <c r="K3" s="11" t="s">
        <v>64</v>
      </c>
      <c r="L3" s="11" t="s">
        <v>65</v>
      </c>
      <c r="N3" s="11">
        <v>1.606</v>
      </c>
      <c r="O3" s="11">
        <v>1.58</v>
      </c>
      <c r="P3" s="11">
        <f t="shared" si="2"/>
        <v>0.026</v>
      </c>
      <c r="Q3" s="11">
        <v>-1.25</v>
      </c>
      <c r="R3" s="11">
        <v>-1.18</v>
      </c>
      <c r="S3" s="23">
        <f t="shared" si="3"/>
        <v>-0.07</v>
      </c>
      <c r="T3" s="24">
        <f t="shared" si="4"/>
        <v>-0.02133495885</v>
      </c>
      <c r="U3" s="11">
        <v>0.0</v>
      </c>
      <c r="W3" s="12" t="s">
        <v>70</v>
      </c>
    </row>
    <row r="4" ht="15.75" customHeight="1">
      <c r="A4" s="25">
        <v>45610.887349537035</v>
      </c>
      <c r="B4" s="22">
        <f t="shared" si="1"/>
        <v>45610.42902</v>
      </c>
      <c r="C4" s="11" t="s">
        <v>24</v>
      </c>
      <c r="D4" s="12" t="s">
        <v>231</v>
      </c>
      <c r="E4" s="12">
        <v>-14.1723</v>
      </c>
      <c r="F4" s="12">
        <v>-169.6762</v>
      </c>
      <c r="G4" s="12" t="s">
        <v>62</v>
      </c>
      <c r="H4" s="12" t="s">
        <v>63</v>
      </c>
      <c r="I4" s="12">
        <v>34.57812577</v>
      </c>
      <c r="J4" s="11" t="s">
        <v>232</v>
      </c>
      <c r="K4" s="11" t="s">
        <v>64</v>
      </c>
      <c r="L4" s="11" t="s">
        <v>64</v>
      </c>
      <c r="M4" s="11" t="s">
        <v>75</v>
      </c>
      <c r="N4" s="11">
        <v>1.137</v>
      </c>
      <c r="O4" s="11">
        <v>1.53</v>
      </c>
      <c r="P4" s="11">
        <f t="shared" si="2"/>
        <v>-0.393</v>
      </c>
      <c r="Q4" s="11">
        <v>-2.52</v>
      </c>
      <c r="R4" s="11">
        <v>-1.18</v>
      </c>
      <c r="S4" s="23">
        <f t="shared" si="3"/>
        <v>-1.34</v>
      </c>
      <c r="T4" s="24">
        <f t="shared" si="4"/>
        <v>-0.4084120695</v>
      </c>
      <c r="U4" s="11">
        <v>0.05</v>
      </c>
      <c r="W4" s="12" t="s">
        <v>73</v>
      </c>
    </row>
    <row r="5" ht="15.75" customHeight="1">
      <c r="A5" s="25">
        <v>45617.84386574074</v>
      </c>
      <c r="B5" s="22">
        <f t="shared" si="1"/>
        <v>45617.38553</v>
      </c>
      <c r="C5" s="11" t="s">
        <v>109</v>
      </c>
      <c r="D5" s="12" t="s">
        <v>233</v>
      </c>
      <c r="E5" s="12">
        <v>-14.1741</v>
      </c>
      <c r="F5" s="12">
        <v>-169.6711</v>
      </c>
      <c r="G5" s="12" t="s">
        <v>62</v>
      </c>
      <c r="H5" s="12" t="s">
        <v>63</v>
      </c>
      <c r="I5" s="12">
        <v>19.13604089</v>
      </c>
      <c r="K5" s="11" t="s">
        <v>64</v>
      </c>
      <c r="L5" s="11" t="s">
        <v>65</v>
      </c>
      <c r="N5" s="11">
        <v>1.457</v>
      </c>
      <c r="O5" s="11">
        <v>1.53</v>
      </c>
      <c r="P5" s="11">
        <f t="shared" si="2"/>
        <v>-0.073</v>
      </c>
      <c r="Q5" s="11">
        <v>-1.82</v>
      </c>
      <c r="R5" s="11">
        <v>-1.18</v>
      </c>
      <c r="S5" s="23">
        <f t="shared" si="3"/>
        <v>-0.64</v>
      </c>
      <c r="T5" s="24">
        <f t="shared" si="4"/>
        <v>-0.195062481</v>
      </c>
      <c r="U5" s="11">
        <v>0.0</v>
      </c>
    </row>
    <row r="6" ht="15.75" customHeight="1">
      <c r="A6" s="25">
        <v>45645.85186342592</v>
      </c>
      <c r="B6" s="22">
        <f t="shared" si="1"/>
        <v>45645.39353</v>
      </c>
      <c r="C6" s="11" t="s">
        <v>26</v>
      </c>
      <c r="D6" s="12" t="s">
        <v>234</v>
      </c>
      <c r="E6" s="12">
        <v>-14.1715</v>
      </c>
      <c r="F6" s="12">
        <v>-169.6727</v>
      </c>
      <c r="G6" s="12" t="s">
        <v>62</v>
      </c>
      <c r="H6" s="12" t="s">
        <v>69</v>
      </c>
      <c r="I6" s="12">
        <v>28.97663536</v>
      </c>
      <c r="J6" s="12"/>
      <c r="K6" s="11" t="s">
        <v>64</v>
      </c>
      <c r="L6" s="11" t="s">
        <v>65</v>
      </c>
      <c r="M6" s="11" t="s">
        <v>75</v>
      </c>
      <c r="N6" s="11">
        <v>1.801</v>
      </c>
      <c r="O6" s="11">
        <v>1.59</v>
      </c>
      <c r="P6" s="11">
        <f t="shared" si="2"/>
        <v>0.211</v>
      </c>
      <c r="Q6" s="11">
        <v>-0.92</v>
      </c>
      <c r="R6" s="11">
        <v>-1.18</v>
      </c>
      <c r="S6" s="23">
        <f t="shared" si="3"/>
        <v>0.26</v>
      </c>
      <c r="T6" s="24">
        <f t="shared" si="4"/>
        <v>0.07924413289</v>
      </c>
      <c r="U6" s="11">
        <v>0.0</v>
      </c>
      <c r="V6" s="12"/>
      <c r="W6" s="12"/>
      <c r="X6" s="12"/>
      <c r="Y6" s="12"/>
      <c r="Z6" s="12"/>
      <c r="AA6" s="12"/>
      <c r="AB6" s="12"/>
      <c r="AC6" s="12"/>
    </row>
    <row r="7" ht="15.75" customHeight="1">
      <c r="A7" s="25">
        <v>45650.35024305555</v>
      </c>
      <c r="B7" s="22">
        <f t="shared" si="1"/>
        <v>45649.89191</v>
      </c>
      <c r="C7" s="11" t="s">
        <v>26</v>
      </c>
      <c r="D7" s="12" t="s">
        <v>235</v>
      </c>
      <c r="E7" s="12">
        <v>-14.1715</v>
      </c>
      <c r="F7" s="12">
        <v>-169.6727</v>
      </c>
      <c r="G7" s="12" t="s">
        <v>68</v>
      </c>
      <c r="H7" s="12" t="s">
        <v>69</v>
      </c>
      <c r="I7" s="12">
        <v>30.66316617</v>
      </c>
      <c r="J7" s="11" t="s">
        <v>236</v>
      </c>
      <c r="K7" s="11" t="s">
        <v>64</v>
      </c>
      <c r="L7" s="11" t="s">
        <v>64</v>
      </c>
      <c r="M7" s="11" t="s">
        <v>75</v>
      </c>
      <c r="N7" s="11">
        <v>1.42</v>
      </c>
      <c r="O7" s="11">
        <v>1.59</v>
      </c>
      <c r="P7" s="11">
        <f t="shared" si="2"/>
        <v>-0.17</v>
      </c>
      <c r="Q7" s="11">
        <v>-2.06</v>
      </c>
      <c r="R7" s="11">
        <v>-1.18</v>
      </c>
      <c r="S7" s="23">
        <f t="shared" si="3"/>
        <v>-0.88</v>
      </c>
      <c r="T7" s="24">
        <f t="shared" si="4"/>
        <v>-0.2682109113</v>
      </c>
      <c r="U7" s="11">
        <v>0.0</v>
      </c>
    </row>
    <row r="8" ht="15.75" customHeight="1">
      <c r="A8" s="25">
        <v>45663.897372685184</v>
      </c>
      <c r="B8" s="22">
        <f t="shared" si="1"/>
        <v>45663.43904</v>
      </c>
      <c r="C8" s="11" t="s">
        <v>71</v>
      </c>
      <c r="D8" s="12" t="s">
        <v>237</v>
      </c>
      <c r="E8" s="12">
        <v>-14.1733</v>
      </c>
      <c r="F8" s="12">
        <v>-169.6742</v>
      </c>
      <c r="G8" s="12" t="s">
        <v>62</v>
      </c>
      <c r="H8" s="12" t="s">
        <v>63</v>
      </c>
      <c r="I8" s="12">
        <v>34.75807651</v>
      </c>
      <c r="J8" s="11" t="s">
        <v>229</v>
      </c>
      <c r="K8" s="11" t="s">
        <v>64</v>
      </c>
      <c r="L8" s="11" t="s">
        <v>64</v>
      </c>
      <c r="M8" s="11" t="s">
        <v>75</v>
      </c>
      <c r="N8" s="11">
        <v>1.798</v>
      </c>
      <c r="O8" s="11">
        <v>1.59</v>
      </c>
      <c r="P8" s="11">
        <f t="shared" si="2"/>
        <v>0.208</v>
      </c>
      <c r="Q8" s="11">
        <v>-0.47</v>
      </c>
      <c r="R8" s="11">
        <v>-1.18</v>
      </c>
      <c r="S8" s="23">
        <f t="shared" si="3"/>
        <v>0.71</v>
      </c>
      <c r="T8" s="24">
        <f t="shared" si="4"/>
        <v>0.2163974398</v>
      </c>
      <c r="U8" s="11">
        <v>0.0</v>
      </c>
      <c r="V8" s="12"/>
      <c r="W8" s="12"/>
      <c r="X8" s="12"/>
      <c r="Y8" s="12"/>
      <c r="Z8" s="12"/>
      <c r="AA8" s="12"/>
      <c r="AB8" s="12"/>
      <c r="AC8" s="12"/>
    </row>
    <row r="9" ht="15.75" customHeight="1">
      <c r="A9" s="25">
        <v>45664.898460648146</v>
      </c>
      <c r="B9" s="22">
        <f t="shared" si="1"/>
        <v>45664.44013</v>
      </c>
      <c r="C9" s="11" t="s">
        <v>71</v>
      </c>
      <c r="D9" s="12" t="s">
        <v>238</v>
      </c>
      <c r="E9" s="12">
        <v>-14.1712</v>
      </c>
      <c r="F9" s="12">
        <v>-169.6692</v>
      </c>
      <c r="G9" s="12" t="s">
        <v>62</v>
      </c>
      <c r="H9" s="12" t="s">
        <v>63</v>
      </c>
      <c r="I9" s="12">
        <v>34.27160713</v>
      </c>
      <c r="J9" s="11" t="s">
        <v>229</v>
      </c>
      <c r="K9" s="11" t="s">
        <v>64</v>
      </c>
      <c r="L9" s="11" t="s">
        <v>64</v>
      </c>
      <c r="M9" s="11" t="s">
        <v>75</v>
      </c>
      <c r="N9" s="11">
        <v>1.63</v>
      </c>
      <c r="O9" s="11">
        <v>1.59</v>
      </c>
      <c r="P9" s="11">
        <f t="shared" si="2"/>
        <v>0.04</v>
      </c>
      <c r="Q9" s="11">
        <v>-0.96</v>
      </c>
      <c r="R9" s="11">
        <v>-1.18</v>
      </c>
      <c r="S9" s="23">
        <f t="shared" si="3"/>
        <v>0.22</v>
      </c>
      <c r="T9" s="24">
        <f t="shared" si="4"/>
        <v>0.06705272783</v>
      </c>
      <c r="U9" s="11">
        <v>0.0</v>
      </c>
      <c r="V9" s="12"/>
      <c r="W9" s="12"/>
      <c r="X9" s="12"/>
      <c r="Y9" s="12"/>
      <c r="Z9" s="12"/>
      <c r="AA9" s="12"/>
      <c r="AB9" s="12"/>
      <c r="AC9" s="12"/>
    </row>
    <row r="10" ht="15.75" customHeight="1">
      <c r="A10" s="25">
        <v>45669.8425</v>
      </c>
      <c r="B10" s="22">
        <f t="shared" si="1"/>
        <v>45669.38417</v>
      </c>
      <c r="C10" s="11" t="s">
        <v>60</v>
      </c>
      <c r="D10" s="12" t="s">
        <v>239</v>
      </c>
      <c r="E10" s="12">
        <v>-14.1725</v>
      </c>
      <c r="F10" s="12">
        <v>-169.67</v>
      </c>
      <c r="G10" s="12" t="s">
        <v>62</v>
      </c>
      <c r="H10" s="12" t="s">
        <v>63</v>
      </c>
      <c r="I10" s="12">
        <v>20.54740942</v>
      </c>
      <c r="J10" s="11" t="s">
        <v>229</v>
      </c>
      <c r="K10" s="11" t="s">
        <v>64</v>
      </c>
      <c r="L10" s="11" t="s">
        <v>64</v>
      </c>
      <c r="M10" s="11" t="s">
        <v>75</v>
      </c>
      <c r="N10" s="11">
        <v>1.515</v>
      </c>
      <c r="O10" s="11">
        <v>1.59</v>
      </c>
      <c r="P10" s="11">
        <f t="shared" si="2"/>
        <v>-0.075</v>
      </c>
      <c r="Q10" s="11">
        <v>-1.21</v>
      </c>
      <c r="R10" s="11">
        <v>-1.18</v>
      </c>
      <c r="S10" s="23">
        <f t="shared" si="3"/>
        <v>-0.03</v>
      </c>
      <c r="T10" s="24">
        <f t="shared" si="4"/>
        <v>-0.009143553795</v>
      </c>
      <c r="U10" s="11">
        <v>0.0</v>
      </c>
    </row>
    <row r="11" ht="15.75" customHeight="1">
      <c r="A11" s="25">
        <v>45701.42173611111</v>
      </c>
      <c r="B11" s="22">
        <f t="shared" si="1"/>
        <v>45700.9634</v>
      </c>
      <c r="C11" s="11" t="s">
        <v>24</v>
      </c>
      <c r="D11" s="12" t="s">
        <v>240</v>
      </c>
      <c r="E11" s="27">
        <v>-14.1714</v>
      </c>
      <c r="F11" s="27">
        <v>-169.6702</v>
      </c>
      <c r="G11" s="11" t="s">
        <v>68</v>
      </c>
      <c r="H11" s="11" t="s">
        <v>63</v>
      </c>
      <c r="I11" s="12">
        <f>19.0540279230062</f>
        <v>19.05402792</v>
      </c>
      <c r="K11" s="11" t="s">
        <v>64</v>
      </c>
      <c r="L11" s="11" t="s">
        <v>65</v>
      </c>
      <c r="N11" s="11">
        <v>1.53</v>
      </c>
      <c r="O11" s="11">
        <v>1.61</v>
      </c>
      <c r="P11" s="11">
        <f t="shared" si="2"/>
        <v>-0.08</v>
      </c>
      <c r="Q11" s="11">
        <v>-1.14</v>
      </c>
      <c r="R11" s="11">
        <v>-1.18</v>
      </c>
      <c r="S11" s="23">
        <f t="shared" si="3"/>
        <v>0.04</v>
      </c>
      <c r="T11" s="24">
        <f t="shared" si="4"/>
        <v>0.01219140506</v>
      </c>
      <c r="U11" s="11">
        <v>0.0</v>
      </c>
    </row>
    <row r="12" ht="15.75" customHeight="1">
      <c r="A12" s="25">
        <v>45703.89289351852</v>
      </c>
      <c r="B12" s="22">
        <f t="shared" si="1"/>
        <v>45703.43456</v>
      </c>
      <c r="C12" s="11" t="s">
        <v>241</v>
      </c>
      <c r="D12" s="12" t="s">
        <v>242</v>
      </c>
      <c r="E12" s="12">
        <v>-14.1726</v>
      </c>
      <c r="F12" s="12">
        <v>-169.6696</v>
      </c>
      <c r="G12" s="11" t="s">
        <v>62</v>
      </c>
      <c r="H12" s="11" t="s">
        <v>63</v>
      </c>
      <c r="I12" s="12">
        <v>23.5852840473146</v>
      </c>
      <c r="J12" s="11" t="s">
        <v>229</v>
      </c>
      <c r="K12" s="11" t="s">
        <v>64</v>
      </c>
      <c r="L12" s="11" t="s">
        <v>65</v>
      </c>
      <c r="M12" s="12"/>
      <c r="N12" s="11">
        <v>1.869</v>
      </c>
      <c r="O12" s="11">
        <v>1.63</v>
      </c>
      <c r="P12" s="11">
        <f t="shared" si="2"/>
        <v>0.239</v>
      </c>
      <c r="Q12" s="11">
        <v>-0.06</v>
      </c>
      <c r="R12" s="11">
        <v>-1.18</v>
      </c>
      <c r="S12" s="23">
        <f t="shared" si="3"/>
        <v>1.12</v>
      </c>
      <c r="T12" s="24">
        <f t="shared" si="4"/>
        <v>0.3413593417</v>
      </c>
      <c r="U12" s="11">
        <v>0.0</v>
      </c>
      <c r="V12" s="12"/>
      <c r="W12" s="12"/>
      <c r="X12" s="12"/>
      <c r="Y12" s="12"/>
      <c r="Z12" s="12"/>
      <c r="AA12" s="12"/>
      <c r="AB12" s="12"/>
      <c r="AC12" s="12"/>
    </row>
    <row r="13" ht="15.75" customHeight="1">
      <c r="A13" s="25">
        <v>45707.40090277778</v>
      </c>
      <c r="B13" s="22">
        <f t="shared" si="1"/>
        <v>45706.94257</v>
      </c>
      <c r="C13" s="11" t="s">
        <v>71</v>
      </c>
      <c r="D13" s="12" t="s">
        <v>243</v>
      </c>
      <c r="E13" s="12">
        <v>-14.1726</v>
      </c>
      <c r="F13" s="12">
        <v>-169.6695</v>
      </c>
      <c r="G13" s="11" t="s">
        <v>62</v>
      </c>
      <c r="H13" s="11" t="s">
        <v>63</v>
      </c>
      <c r="I13" s="12">
        <f>33.8596910414498</f>
        <v>33.85969104</v>
      </c>
      <c r="J13" s="12"/>
      <c r="K13" s="11" t="s">
        <v>64</v>
      </c>
      <c r="L13" s="11" t="s">
        <v>65</v>
      </c>
      <c r="M13" s="12"/>
      <c r="N13" s="11">
        <v>1.82</v>
      </c>
      <c r="O13" s="11">
        <v>1.63</v>
      </c>
      <c r="P13" s="11">
        <f t="shared" si="2"/>
        <v>0.19</v>
      </c>
      <c r="Q13" s="11">
        <v>-0.42</v>
      </c>
      <c r="R13" s="11">
        <v>-1.18</v>
      </c>
      <c r="S13" s="23">
        <f t="shared" si="3"/>
        <v>0.76</v>
      </c>
      <c r="T13" s="24">
        <f t="shared" si="4"/>
        <v>0.2316366961</v>
      </c>
      <c r="U13" s="11">
        <v>0.0</v>
      </c>
      <c r="V13" s="12"/>
      <c r="W13" s="12"/>
      <c r="X13" s="12"/>
      <c r="Y13" s="12"/>
      <c r="Z13" s="12"/>
      <c r="AA13" s="12"/>
      <c r="AB13" s="12"/>
      <c r="AC13" s="12"/>
    </row>
    <row r="14" ht="15.75" customHeight="1">
      <c r="A14" s="25">
        <v>45732.89026620371</v>
      </c>
      <c r="B14" s="22">
        <f t="shared" si="1"/>
        <v>45732.43193</v>
      </c>
      <c r="C14" s="11" t="s">
        <v>244</v>
      </c>
      <c r="D14" s="11" t="s">
        <v>245</v>
      </c>
      <c r="E14" s="27">
        <v>-14.1719</v>
      </c>
      <c r="F14" s="27">
        <v>-169.6681</v>
      </c>
      <c r="G14" s="11" t="s">
        <v>62</v>
      </c>
      <c r="H14" s="11" t="s">
        <v>63</v>
      </c>
      <c r="I14" s="11">
        <v>34.9087441296823</v>
      </c>
      <c r="J14" s="12"/>
      <c r="K14" s="11" t="s">
        <v>64</v>
      </c>
      <c r="L14" s="11" t="s">
        <v>64</v>
      </c>
      <c r="M14" s="11" t="s">
        <v>75</v>
      </c>
      <c r="N14" s="11">
        <v>1.805</v>
      </c>
      <c r="O14" s="11">
        <v>1.66</v>
      </c>
      <c r="P14" s="11">
        <f t="shared" si="2"/>
        <v>0.145</v>
      </c>
      <c r="Q14" s="11">
        <v>-0.22</v>
      </c>
      <c r="R14" s="11">
        <v>-1.18</v>
      </c>
      <c r="S14" s="23">
        <f t="shared" si="3"/>
        <v>0.96</v>
      </c>
      <c r="T14" s="24">
        <f t="shared" si="4"/>
        <v>0.2925937214</v>
      </c>
      <c r="U14" s="11">
        <v>0.0</v>
      </c>
      <c r="V14" s="12"/>
      <c r="W14" s="12"/>
      <c r="X14" s="12"/>
      <c r="Y14" s="12"/>
      <c r="Z14" s="12"/>
      <c r="AA14" s="12"/>
      <c r="AB14" s="12"/>
      <c r="AC14" s="12"/>
    </row>
    <row r="15" ht="15.75" customHeight="1">
      <c r="A15" s="21">
        <v>45746.902280092596</v>
      </c>
      <c r="B15" s="22">
        <f t="shared" si="1"/>
        <v>45746.44395</v>
      </c>
      <c r="C15" s="11" t="s">
        <v>89</v>
      </c>
      <c r="D15" s="28" t="s">
        <v>246</v>
      </c>
      <c r="E15" s="27">
        <v>-14.1719</v>
      </c>
      <c r="F15" s="27">
        <v>-169.6681</v>
      </c>
      <c r="G15" s="11" t="s">
        <v>62</v>
      </c>
      <c r="H15" s="11" t="s">
        <v>69</v>
      </c>
      <c r="I15" s="11">
        <v>34.5178008113238</v>
      </c>
      <c r="J15" s="12"/>
      <c r="K15" s="11" t="s">
        <v>64</v>
      </c>
      <c r="L15" s="11" t="s">
        <v>65</v>
      </c>
      <c r="M15" s="11" t="s">
        <v>75</v>
      </c>
      <c r="N15" s="11">
        <v>1.762</v>
      </c>
      <c r="O15" s="11">
        <v>1.66</v>
      </c>
      <c r="P15" s="11">
        <f t="shared" si="2"/>
        <v>0.102</v>
      </c>
      <c r="Q15" s="11">
        <v>-0.8</v>
      </c>
      <c r="R15" s="11">
        <v>-1.18</v>
      </c>
      <c r="S15" s="23">
        <f t="shared" si="3"/>
        <v>0.38</v>
      </c>
      <c r="T15" s="24">
        <f t="shared" si="4"/>
        <v>0.1158183481</v>
      </c>
      <c r="U15" s="11">
        <v>0.0</v>
      </c>
      <c r="V15" s="12"/>
      <c r="W15" s="12"/>
      <c r="X15" s="12"/>
      <c r="Y15" s="12"/>
      <c r="Z15" s="12"/>
      <c r="AA15" s="12"/>
      <c r="AB15" s="12"/>
      <c r="AC15" s="12"/>
    </row>
    <row r="16" ht="15.75" customHeight="1">
      <c r="A16" s="21">
        <v>45750.90354166667</v>
      </c>
      <c r="B16" s="22">
        <f t="shared" si="1"/>
        <v>45750.44521</v>
      </c>
      <c r="C16" s="11" t="s">
        <v>35</v>
      </c>
      <c r="D16" s="28" t="s">
        <v>247</v>
      </c>
      <c r="E16" s="27">
        <v>-14.1719</v>
      </c>
      <c r="F16" s="27">
        <v>-169.6681</v>
      </c>
      <c r="G16" s="11" t="s">
        <v>62</v>
      </c>
      <c r="H16" s="11" t="s">
        <v>63</v>
      </c>
      <c r="I16" s="11">
        <v>26.9360603471595</v>
      </c>
      <c r="J16" s="11" t="s">
        <v>229</v>
      </c>
      <c r="K16" s="11" t="s">
        <v>64</v>
      </c>
      <c r="L16" s="11" t="s">
        <v>65</v>
      </c>
      <c r="M16" s="12"/>
      <c r="N16" s="11">
        <v>2.002</v>
      </c>
      <c r="O16" s="11">
        <v>1.66</v>
      </c>
      <c r="P16" s="11">
        <f t="shared" si="2"/>
        <v>0.342</v>
      </c>
      <c r="Q16" s="11">
        <v>0.28</v>
      </c>
      <c r="R16" s="11">
        <v>-1.18</v>
      </c>
      <c r="S16" s="23">
        <f t="shared" si="3"/>
        <v>1.46</v>
      </c>
      <c r="T16" s="24">
        <f t="shared" si="4"/>
        <v>0.4449862847</v>
      </c>
      <c r="U16" s="11">
        <v>0.0</v>
      </c>
      <c r="V16" s="12"/>
      <c r="W16" s="12"/>
      <c r="X16" s="12"/>
      <c r="Y16" s="12"/>
      <c r="Z16" s="12"/>
      <c r="AA16" s="12"/>
      <c r="AB16" s="12"/>
      <c r="AC16" s="12"/>
    </row>
    <row r="17" ht="15.75" customHeight="1">
      <c r="A17" s="21">
        <v>45778.892847222225</v>
      </c>
      <c r="B17" s="22">
        <f t="shared" si="1"/>
        <v>45778.43451</v>
      </c>
      <c r="C17" s="11" t="s">
        <v>89</v>
      </c>
      <c r="D17" s="26" t="s">
        <v>248</v>
      </c>
      <c r="E17" s="27">
        <v>-14.1719</v>
      </c>
      <c r="F17" s="27">
        <v>-169.6681</v>
      </c>
      <c r="G17" s="11" t="s">
        <v>62</v>
      </c>
      <c r="H17" s="11" t="s">
        <v>63</v>
      </c>
      <c r="I17" s="11">
        <v>31.6142687524722</v>
      </c>
      <c r="J17" s="11" t="s">
        <v>229</v>
      </c>
      <c r="K17" s="11" t="s">
        <v>64</v>
      </c>
      <c r="L17" s="11" t="s">
        <v>65</v>
      </c>
      <c r="M17" s="11" t="s">
        <v>75</v>
      </c>
      <c r="N17" s="11">
        <v>2.028</v>
      </c>
      <c r="O17" s="11">
        <v>1.66</v>
      </c>
      <c r="P17" s="11">
        <f t="shared" si="2"/>
        <v>0.368</v>
      </c>
      <c r="Q17" s="11">
        <v>0.4</v>
      </c>
      <c r="R17" s="11">
        <v>-1.18</v>
      </c>
      <c r="S17" s="23">
        <f t="shared" si="3"/>
        <v>1.58</v>
      </c>
      <c r="T17" s="24">
        <f t="shared" si="4"/>
        <v>0.4815604998</v>
      </c>
      <c r="U17" s="11">
        <v>0.0</v>
      </c>
      <c r="V17" s="12"/>
      <c r="W17" s="12"/>
      <c r="X17" s="12"/>
      <c r="Y17" s="12"/>
      <c r="Z17" s="12"/>
      <c r="AA17" s="12"/>
      <c r="AB17" s="12"/>
      <c r="AC17" s="12"/>
    </row>
    <row r="18" ht="15.75" customHeight="1">
      <c r="A18" s="21">
        <v>45779.41614583333</v>
      </c>
      <c r="B18" s="22">
        <f t="shared" si="1"/>
        <v>45778.95781</v>
      </c>
      <c r="C18" s="11" t="s">
        <v>89</v>
      </c>
      <c r="D18" s="26" t="s">
        <v>249</v>
      </c>
      <c r="E18" s="27">
        <v>-14.1719</v>
      </c>
      <c r="F18" s="27">
        <v>-169.6681</v>
      </c>
      <c r="G18" s="11" t="s">
        <v>68</v>
      </c>
      <c r="H18" s="11" t="s">
        <v>69</v>
      </c>
      <c r="I18" s="11">
        <v>23.8959826653322</v>
      </c>
      <c r="J18" s="11" t="s">
        <v>250</v>
      </c>
      <c r="K18" s="11" t="s">
        <v>64</v>
      </c>
      <c r="L18" s="11" t="s">
        <v>65</v>
      </c>
      <c r="M18" s="12"/>
      <c r="N18" s="11">
        <v>1.861</v>
      </c>
      <c r="O18" s="11">
        <v>1.66</v>
      </c>
      <c r="P18" s="11">
        <f t="shared" si="2"/>
        <v>0.201</v>
      </c>
      <c r="Q18" s="11">
        <v>-0.19</v>
      </c>
      <c r="R18" s="11">
        <v>-1.18</v>
      </c>
      <c r="S18" s="23">
        <f t="shared" si="3"/>
        <v>0.99</v>
      </c>
      <c r="T18" s="24">
        <f t="shared" si="4"/>
        <v>0.3017372752</v>
      </c>
      <c r="U18" s="11">
        <v>0.0</v>
      </c>
      <c r="V18" s="12"/>
      <c r="W18" s="12"/>
      <c r="X18" s="12"/>
      <c r="Y18" s="12"/>
      <c r="Z18" s="12"/>
      <c r="AA18" s="12"/>
      <c r="AB18" s="12"/>
      <c r="AC18" s="12"/>
    </row>
    <row r="19" ht="15.75" customHeight="1">
      <c r="A19" s="21">
        <v>45785.851875</v>
      </c>
      <c r="B19" s="22">
        <f t="shared" si="1"/>
        <v>45785.39354</v>
      </c>
      <c r="C19" s="11" t="s">
        <v>71</v>
      </c>
      <c r="D19" s="26" t="s">
        <v>251</v>
      </c>
      <c r="E19" s="27">
        <v>-14.1719</v>
      </c>
      <c r="F19" s="27">
        <v>-169.6681</v>
      </c>
      <c r="G19" s="11" t="s">
        <v>62</v>
      </c>
      <c r="H19" s="11" t="s">
        <v>69</v>
      </c>
      <c r="I19" s="11">
        <v>17.1411432294259</v>
      </c>
      <c r="K19" s="11" t="s">
        <v>64</v>
      </c>
      <c r="L19" s="11" t="s">
        <v>65</v>
      </c>
      <c r="N19" s="11">
        <v>1.395</v>
      </c>
      <c r="O19" s="11">
        <v>1.66</v>
      </c>
      <c r="P19" s="11">
        <f t="shared" si="2"/>
        <v>-0.265</v>
      </c>
      <c r="Q19" s="11">
        <v>-1.65</v>
      </c>
      <c r="R19" s="11">
        <v>-1.18</v>
      </c>
      <c r="S19" s="23">
        <f t="shared" si="3"/>
        <v>-0.47</v>
      </c>
      <c r="T19" s="24">
        <f t="shared" si="4"/>
        <v>-0.1432490094</v>
      </c>
      <c r="U19" s="11">
        <v>0.03</v>
      </c>
    </row>
    <row r="20" ht="15.75" customHeight="1">
      <c r="A20" s="21">
        <v>45800.90380787037</v>
      </c>
      <c r="B20" s="22">
        <f t="shared" si="1"/>
        <v>45800.44547</v>
      </c>
      <c r="C20" s="11" t="s">
        <v>26</v>
      </c>
      <c r="D20" s="11" t="s">
        <v>252</v>
      </c>
      <c r="E20" s="27">
        <v>-14.1719</v>
      </c>
      <c r="F20" s="27">
        <v>-169.6681</v>
      </c>
      <c r="G20" s="11" t="s">
        <v>62</v>
      </c>
      <c r="H20" s="11" t="s">
        <v>69</v>
      </c>
      <c r="I20" s="11">
        <v>22.7173770312215</v>
      </c>
      <c r="J20" s="11" t="s">
        <v>217</v>
      </c>
      <c r="K20" s="11" t="s">
        <v>65</v>
      </c>
      <c r="L20" s="11" t="s">
        <v>65</v>
      </c>
      <c r="M20" s="11" t="s">
        <v>75</v>
      </c>
      <c r="N20" s="11">
        <v>1.237</v>
      </c>
      <c r="O20" s="11">
        <v>1.58</v>
      </c>
      <c r="P20" s="11">
        <f t="shared" si="2"/>
        <v>-0.343</v>
      </c>
      <c r="Q20" s="11">
        <v>-2.42</v>
      </c>
      <c r="R20" s="11">
        <v>-1.18</v>
      </c>
      <c r="S20" s="23">
        <f t="shared" si="3"/>
        <v>-1.24</v>
      </c>
      <c r="T20" s="24">
        <f t="shared" si="4"/>
        <v>-0.3779335568</v>
      </c>
      <c r="U20" s="11">
        <v>0.0</v>
      </c>
    </row>
    <row r="21" ht="15.75" customHeight="1">
      <c r="A21" s="21">
        <v>45802.8434375</v>
      </c>
      <c r="B21" s="22">
        <f t="shared" si="1"/>
        <v>45802.3851</v>
      </c>
      <c r="C21" s="11" t="s">
        <v>89</v>
      </c>
      <c r="D21" s="11" t="s">
        <v>253</v>
      </c>
      <c r="E21" s="27">
        <v>-14.1719</v>
      </c>
      <c r="F21" s="27">
        <v>-169.6681</v>
      </c>
      <c r="G21" s="11" t="s">
        <v>62</v>
      </c>
      <c r="H21" s="11" t="s">
        <v>63</v>
      </c>
      <c r="I21" s="11">
        <v>31.5685280725833</v>
      </c>
      <c r="J21" s="11" t="s">
        <v>254</v>
      </c>
      <c r="K21" s="11" t="s">
        <v>65</v>
      </c>
      <c r="L21" s="11" t="s">
        <v>65</v>
      </c>
      <c r="M21" s="11" t="s">
        <v>75</v>
      </c>
      <c r="N21" s="11">
        <v>1.49</v>
      </c>
      <c r="O21" s="11">
        <v>1.58</v>
      </c>
      <c r="P21" s="11">
        <f t="shared" si="2"/>
        <v>-0.09</v>
      </c>
      <c r="Q21" s="11">
        <v>-1.3</v>
      </c>
      <c r="R21" s="11">
        <v>-1.18</v>
      </c>
      <c r="S21" s="23">
        <f t="shared" si="3"/>
        <v>-0.12</v>
      </c>
      <c r="T21" s="24">
        <f t="shared" si="4"/>
        <v>-0.03657421518</v>
      </c>
      <c r="U21" s="11">
        <v>0.06</v>
      </c>
    </row>
    <row r="22" ht="15.75" customHeight="1">
      <c r="A22" s="21">
        <v>45804.425</v>
      </c>
      <c r="B22" s="22">
        <f t="shared" si="1"/>
        <v>45803.96667</v>
      </c>
      <c r="C22" s="11" t="s">
        <v>142</v>
      </c>
      <c r="D22" s="11" t="s">
        <v>255</v>
      </c>
      <c r="E22" s="27">
        <v>-14.1719</v>
      </c>
      <c r="F22" s="27">
        <v>-169.6681</v>
      </c>
      <c r="G22" s="11" t="s">
        <v>68</v>
      </c>
      <c r="H22" s="11" t="s">
        <v>63</v>
      </c>
      <c r="I22" s="11">
        <v>17.3383692054564</v>
      </c>
      <c r="J22" s="11"/>
      <c r="K22" s="11" t="s">
        <v>65</v>
      </c>
      <c r="L22" s="11" t="s">
        <v>65</v>
      </c>
      <c r="M22" s="11"/>
      <c r="N22" s="11">
        <v>1.26</v>
      </c>
      <c r="O22" s="11">
        <v>1.58</v>
      </c>
      <c r="P22" s="11">
        <f t="shared" si="2"/>
        <v>-0.32</v>
      </c>
      <c r="Q22" s="11">
        <v>-2.22</v>
      </c>
      <c r="R22" s="11">
        <v>-1.18</v>
      </c>
      <c r="S22" s="23">
        <f t="shared" si="3"/>
        <v>-1.04</v>
      </c>
      <c r="T22" s="24">
        <f t="shared" si="4"/>
        <v>-0.3169765315</v>
      </c>
      <c r="U22" s="11">
        <v>0.0</v>
      </c>
    </row>
    <row r="23" ht="15.0" customHeight="1">
      <c r="A23" s="21">
        <v>45804.42505787037</v>
      </c>
      <c r="B23" s="22">
        <f t="shared" si="1"/>
        <v>45803.96672</v>
      </c>
      <c r="C23" s="11" t="s">
        <v>142</v>
      </c>
      <c r="D23" s="11" t="s">
        <v>256</v>
      </c>
      <c r="E23" s="27">
        <v>-14.1719</v>
      </c>
      <c r="F23" s="27">
        <v>-169.6681</v>
      </c>
      <c r="G23" s="11" t="s">
        <v>68</v>
      </c>
      <c r="H23" s="11" t="s">
        <v>63</v>
      </c>
      <c r="I23" s="11">
        <v>17.7288079913823</v>
      </c>
      <c r="J23" s="11"/>
      <c r="K23" s="11" t="s">
        <v>65</v>
      </c>
      <c r="L23" s="11" t="s">
        <v>65</v>
      </c>
      <c r="N23" s="11">
        <v>1.26</v>
      </c>
      <c r="O23" s="11">
        <v>1.58</v>
      </c>
      <c r="P23" s="11">
        <f t="shared" si="2"/>
        <v>-0.32</v>
      </c>
      <c r="Q23" s="11">
        <v>-2.22</v>
      </c>
      <c r="R23" s="11">
        <v>-1.18</v>
      </c>
      <c r="S23" s="23">
        <f t="shared" si="3"/>
        <v>-1.04</v>
      </c>
      <c r="T23" s="24">
        <f t="shared" si="4"/>
        <v>-0.3169765315</v>
      </c>
      <c r="U23" s="11">
        <v>0.0</v>
      </c>
    </row>
    <row r="24" ht="15.75" customHeight="1">
      <c r="A24" s="21">
        <v>45807.85327546296</v>
      </c>
      <c r="B24" s="22">
        <f t="shared" si="1"/>
        <v>45807.39494</v>
      </c>
      <c r="C24" s="11" t="s">
        <v>89</v>
      </c>
      <c r="D24" s="26" t="s">
        <v>257</v>
      </c>
      <c r="E24" s="27">
        <v>-14.1719</v>
      </c>
      <c r="F24" s="27">
        <v>-169.6681</v>
      </c>
      <c r="G24" s="11" t="s">
        <v>62</v>
      </c>
      <c r="H24" s="11" t="s">
        <v>69</v>
      </c>
      <c r="I24" s="11">
        <v>19.8095435792715</v>
      </c>
      <c r="J24" s="11" t="s">
        <v>254</v>
      </c>
      <c r="K24" s="11" t="s">
        <v>65</v>
      </c>
      <c r="L24" s="11" t="s">
        <v>65</v>
      </c>
      <c r="M24" s="11" t="s">
        <v>75</v>
      </c>
      <c r="N24" s="11">
        <v>2.025</v>
      </c>
      <c r="O24" s="11">
        <v>1.58</v>
      </c>
      <c r="P24" s="11">
        <f t="shared" si="2"/>
        <v>0.445</v>
      </c>
      <c r="Q24" s="11">
        <v>-0.03</v>
      </c>
      <c r="R24" s="11">
        <v>-1.18</v>
      </c>
      <c r="S24" s="23">
        <f t="shared" si="3"/>
        <v>1.15</v>
      </c>
      <c r="T24" s="24">
        <f t="shared" si="4"/>
        <v>0.3505028955</v>
      </c>
      <c r="U24" s="11">
        <v>0.0</v>
      </c>
      <c r="V24" s="12"/>
      <c r="W24" s="12"/>
      <c r="X24" s="12"/>
      <c r="Y24" s="12"/>
      <c r="Z24" s="12"/>
      <c r="AA24" s="12"/>
      <c r="AB24" s="12"/>
      <c r="AC24" s="12"/>
    </row>
    <row r="25" ht="15.75" customHeight="1">
      <c r="A25" s="21">
        <v>45819.404016203705</v>
      </c>
      <c r="B25" s="22">
        <f t="shared" si="1"/>
        <v>45818.94568</v>
      </c>
      <c r="C25" s="11" t="s">
        <v>99</v>
      </c>
      <c r="D25" s="11" t="s">
        <v>258</v>
      </c>
      <c r="E25" s="27">
        <v>-14.1719</v>
      </c>
      <c r="F25" s="27">
        <v>-169.6681</v>
      </c>
      <c r="G25" s="11" t="s">
        <v>68</v>
      </c>
      <c r="H25" s="11" t="s">
        <v>69</v>
      </c>
      <c r="I25" s="12">
        <v>33.9977609274619</v>
      </c>
      <c r="J25" s="11" t="s">
        <v>259</v>
      </c>
      <c r="K25" s="11" t="s">
        <v>65</v>
      </c>
      <c r="L25" s="11" t="s">
        <v>65</v>
      </c>
      <c r="M25" s="11" t="s">
        <v>75</v>
      </c>
      <c r="N25" s="11">
        <v>1.355</v>
      </c>
      <c r="O25" s="11">
        <v>1.58</v>
      </c>
      <c r="P25" s="11">
        <f t="shared" si="2"/>
        <v>-0.225</v>
      </c>
      <c r="Q25" s="11">
        <v>-1.97</v>
      </c>
      <c r="R25" s="11">
        <v>-1.18</v>
      </c>
      <c r="S25" s="23">
        <f t="shared" si="3"/>
        <v>-0.79</v>
      </c>
      <c r="T25" s="24">
        <f t="shared" si="4"/>
        <v>-0.2407802499</v>
      </c>
      <c r="U25" s="11">
        <v>0.0</v>
      </c>
    </row>
    <row r="26" ht="15.75" customHeight="1">
      <c r="A26" s="21">
        <v>45828.42679398148</v>
      </c>
      <c r="B26" s="22">
        <f t="shared" si="1"/>
        <v>45827.96846</v>
      </c>
      <c r="C26" s="11" t="s">
        <v>97</v>
      </c>
      <c r="D26" s="12" t="s">
        <v>260</v>
      </c>
      <c r="E26" s="27">
        <v>-14.1719</v>
      </c>
      <c r="F26" s="27">
        <v>-169.6681</v>
      </c>
      <c r="G26" s="11" t="s">
        <v>68</v>
      </c>
      <c r="H26" s="11" t="s">
        <v>63</v>
      </c>
      <c r="I26" s="11">
        <v>19.9727945247005</v>
      </c>
      <c r="J26" s="11" t="s">
        <v>261</v>
      </c>
      <c r="K26" s="11" t="s">
        <v>65</v>
      </c>
      <c r="L26" s="11" t="s">
        <v>65</v>
      </c>
      <c r="N26" s="11">
        <v>1.616</v>
      </c>
      <c r="O26" s="11">
        <v>1.58</v>
      </c>
      <c r="P26" s="11">
        <f t="shared" si="2"/>
        <v>0.036</v>
      </c>
      <c r="Q26" s="11">
        <v>-1.37</v>
      </c>
      <c r="R26" s="11">
        <v>-1.18</v>
      </c>
      <c r="S26" s="23">
        <f t="shared" si="3"/>
        <v>-0.19</v>
      </c>
      <c r="T26" s="24">
        <f t="shared" si="4"/>
        <v>-0.05790917403</v>
      </c>
      <c r="U26" s="11">
        <v>0.0</v>
      </c>
    </row>
    <row r="27" ht="15.75" customHeight="1">
      <c r="A27" s="21">
        <v>45831.418344907404</v>
      </c>
      <c r="B27" s="22">
        <f t="shared" si="1"/>
        <v>45830.96001</v>
      </c>
      <c r="C27" s="11" t="s">
        <v>99</v>
      </c>
      <c r="D27" s="12" t="s">
        <v>262</v>
      </c>
      <c r="E27" s="27">
        <v>-14.1719</v>
      </c>
      <c r="F27" s="27">
        <v>-169.6681</v>
      </c>
      <c r="G27" s="11" t="s">
        <v>68</v>
      </c>
      <c r="H27" s="11" t="s">
        <v>69</v>
      </c>
      <c r="I27" s="11">
        <v>19.4524224426299</v>
      </c>
      <c r="J27" s="11" t="s">
        <v>261</v>
      </c>
      <c r="K27" s="11" t="s">
        <v>65</v>
      </c>
      <c r="L27" s="11" t="s">
        <v>65</v>
      </c>
      <c r="N27" s="11">
        <v>1.135</v>
      </c>
      <c r="O27" s="11">
        <v>1.58</v>
      </c>
      <c r="P27" s="11">
        <f t="shared" si="2"/>
        <v>-0.445</v>
      </c>
      <c r="Q27" s="11">
        <v>-2.78</v>
      </c>
      <c r="R27" s="11">
        <v>-1.18</v>
      </c>
      <c r="S27" s="23">
        <f t="shared" si="3"/>
        <v>-1.6</v>
      </c>
      <c r="T27" s="24">
        <f t="shared" si="4"/>
        <v>-0.4876562024</v>
      </c>
      <c r="U27" s="11">
        <v>0.0</v>
      </c>
    </row>
    <row r="28" ht="15.75" customHeight="1">
      <c r="A28" s="21">
        <v>45833.988969907405</v>
      </c>
      <c r="B28" s="22">
        <f t="shared" si="1"/>
        <v>45833.53064</v>
      </c>
      <c r="C28" s="11" t="s">
        <v>26</v>
      </c>
      <c r="D28" s="11" t="s">
        <v>263</v>
      </c>
      <c r="E28" s="27">
        <v>-14.1719</v>
      </c>
      <c r="F28" s="27">
        <v>-169.6681</v>
      </c>
      <c r="G28" s="11" t="s">
        <v>62</v>
      </c>
      <c r="H28" s="11" t="s">
        <v>69</v>
      </c>
      <c r="I28" s="11">
        <v>24.2946397004488</v>
      </c>
      <c r="J28" s="11" t="s">
        <v>236</v>
      </c>
      <c r="K28" s="11" t="s">
        <v>65</v>
      </c>
      <c r="L28" s="11" t="s">
        <v>65</v>
      </c>
      <c r="M28" s="11" t="s">
        <v>75</v>
      </c>
      <c r="N28" s="11">
        <v>1.104</v>
      </c>
      <c r="O28" s="11">
        <v>1.58</v>
      </c>
      <c r="P28" s="11">
        <f t="shared" si="2"/>
        <v>-0.476</v>
      </c>
      <c r="Q28" s="11">
        <v>-2.79</v>
      </c>
      <c r="R28" s="11">
        <v>-1.18</v>
      </c>
      <c r="S28" s="23">
        <f t="shared" si="3"/>
        <v>-1.61</v>
      </c>
      <c r="T28" s="24">
        <f t="shared" si="4"/>
        <v>-0.4907040536</v>
      </c>
      <c r="U28" s="11">
        <v>0.0</v>
      </c>
      <c r="V28" s="12"/>
      <c r="W28" s="12"/>
      <c r="X28" s="12"/>
      <c r="Y28" s="12"/>
      <c r="Z28" s="12"/>
      <c r="AA28" s="12"/>
      <c r="AB28" s="12"/>
      <c r="AC28" s="12"/>
    </row>
    <row r="29" ht="15.75" customHeight="1">
      <c r="A29" s="21">
        <v>45838.36613425926</v>
      </c>
      <c r="B29" s="22">
        <f t="shared" si="1"/>
        <v>45837.9078</v>
      </c>
      <c r="C29" s="11" t="s">
        <v>104</v>
      </c>
      <c r="D29" s="26" t="s">
        <v>264</v>
      </c>
      <c r="E29" s="27">
        <v>-14.1719</v>
      </c>
      <c r="F29" s="27">
        <v>-169.6681</v>
      </c>
      <c r="G29" s="11" t="s">
        <v>68</v>
      </c>
      <c r="H29" s="11" t="s">
        <v>63</v>
      </c>
      <c r="I29" s="11">
        <v>25.6560156671441</v>
      </c>
      <c r="J29" s="11" t="s">
        <v>236</v>
      </c>
      <c r="K29" s="11" t="s">
        <v>65</v>
      </c>
      <c r="L29" s="11" t="s">
        <v>65</v>
      </c>
      <c r="M29" s="11" t="s">
        <v>75</v>
      </c>
      <c r="N29" s="11">
        <v>1.828</v>
      </c>
      <c r="O29" s="11">
        <v>1.58</v>
      </c>
      <c r="P29" s="11">
        <f t="shared" si="2"/>
        <v>0.248</v>
      </c>
      <c r="Q29" s="11">
        <v>-0.39</v>
      </c>
      <c r="R29" s="11">
        <v>-1.18</v>
      </c>
      <c r="S29" s="23">
        <f t="shared" si="3"/>
        <v>0.79</v>
      </c>
      <c r="T29" s="24">
        <f t="shared" si="4"/>
        <v>0.2407802499</v>
      </c>
      <c r="U29" s="11">
        <v>0.0</v>
      </c>
    </row>
    <row r="30" ht="15.75" customHeight="1">
      <c r="A30" s="21">
        <v>45843.36759259259</v>
      </c>
      <c r="B30" s="22">
        <f t="shared" si="1"/>
        <v>45842.90926</v>
      </c>
      <c r="C30" s="11" t="s">
        <v>106</v>
      </c>
      <c r="D30" s="26" t="s">
        <v>265</v>
      </c>
      <c r="E30" s="27">
        <v>-14.1719</v>
      </c>
      <c r="F30" s="27">
        <v>-169.6681</v>
      </c>
      <c r="G30" s="11" t="s">
        <v>68</v>
      </c>
      <c r="H30" s="11" t="s">
        <v>63</v>
      </c>
      <c r="I30" s="11">
        <v>29.5780945891968</v>
      </c>
      <c r="J30" s="11" t="s">
        <v>236</v>
      </c>
      <c r="K30" s="11" t="s">
        <v>65</v>
      </c>
      <c r="L30" s="11" t="s">
        <v>65</v>
      </c>
      <c r="M30" s="11" t="s">
        <v>75</v>
      </c>
      <c r="N30" s="11">
        <v>1.359</v>
      </c>
      <c r="O30" s="11">
        <v>1.58</v>
      </c>
      <c r="P30" s="11">
        <f t="shared" si="2"/>
        <v>-0.221</v>
      </c>
      <c r="Q30" s="1">
        <v>-1.97</v>
      </c>
      <c r="R30" s="11">
        <v>-1.18</v>
      </c>
      <c r="S30" s="23">
        <f t="shared" si="3"/>
        <v>-0.79</v>
      </c>
      <c r="T30" s="24">
        <f t="shared" si="4"/>
        <v>-0.2407802499</v>
      </c>
      <c r="U30" s="11">
        <v>0.03</v>
      </c>
    </row>
    <row r="31" ht="15.75" customHeight="1">
      <c r="A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A2:X100">
    <cfRule type="expression" dxfId="0" priority="1">
      <formula>$Q2&gt;0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22"/>
    <col customWidth="1" min="3" max="3" width="29.0"/>
    <col customWidth="1" min="4" max="4" width="34.78"/>
    <col customWidth="1" min="5" max="9" width="10.56"/>
    <col customWidth="1" min="10" max="10" width="16.22"/>
    <col customWidth="1" min="11" max="13" width="10.56"/>
    <col customWidth="1" min="14" max="14" width="15.0"/>
    <col customWidth="1" min="15" max="15" width="20.44"/>
    <col customWidth="1" min="16" max="16" width="15.0"/>
    <col customWidth="1" min="17" max="17" width="21.0"/>
    <col customWidth="1" min="18" max="18" width="15.56"/>
    <col customWidth="1" min="19" max="19" width="14.78"/>
    <col customWidth="1" min="20" max="20" width="10.56"/>
    <col customWidth="1" min="21" max="21" width="17.89"/>
    <col customWidth="1" min="22" max="27" width="10.56"/>
  </cols>
  <sheetData>
    <row r="1" ht="15.75" customHeight="1">
      <c r="A1" s="16" t="s">
        <v>108</v>
      </c>
      <c r="B1" s="16" t="s">
        <v>44</v>
      </c>
      <c r="C1" s="16" t="s">
        <v>9</v>
      </c>
      <c r="D1" s="30" t="s">
        <v>45</v>
      </c>
      <c r="E1" s="30" t="s">
        <v>46</v>
      </c>
      <c r="F1" s="30" t="s">
        <v>47</v>
      </c>
      <c r="G1" s="31" t="s">
        <v>48</v>
      </c>
      <c r="H1" s="31" t="s">
        <v>49</v>
      </c>
      <c r="I1" s="31" t="s">
        <v>50</v>
      </c>
      <c r="J1" s="16" t="s">
        <v>2</v>
      </c>
      <c r="K1" s="16" t="s">
        <v>51</v>
      </c>
      <c r="L1" s="16" t="s">
        <v>52</v>
      </c>
      <c r="M1" s="16" t="s">
        <v>53</v>
      </c>
      <c r="N1" s="16" t="s">
        <v>226</v>
      </c>
      <c r="O1" s="16" t="s">
        <v>159</v>
      </c>
      <c r="P1" s="16" t="s">
        <v>227</v>
      </c>
      <c r="Q1" s="16" t="s">
        <v>54</v>
      </c>
      <c r="R1" s="16" t="s">
        <v>55</v>
      </c>
      <c r="S1" s="16" t="s">
        <v>56</v>
      </c>
      <c r="T1" s="19" t="s">
        <v>57</v>
      </c>
      <c r="U1" s="16" t="s">
        <v>58</v>
      </c>
      <c r="V1" s="23"/>
      <c r="W1" s="20" t="s">
        <v>59</v>
      </c>
      <c r="X1" s="23"/>
      <c r="Y1" s="23"/>
      <c r="Z1" s="23"/>
      <c r="AA1" s="23"/>
    </row>
    <row r="2" ht="15.75" customHeight="1">
      <c r="A2" s="25">
        <v>45650.350011574075</v>
      </c>
      <c r="B2" s="22">
        <f t="shared" ref="B2:B17" si="1">A2-time(11,0,0)</f>
        <v>45649.89168</v>
      </c>
      <c r="C2" s="11" t="s">
        <v>26</v>
      </c>
      <c r="D2" s="11" t="s">
        <v>266</v>
      </c>
      <c r="E2" s="12">
        <v>-14.1754</v>
      </c>
      <c r="F2" s="12">
        <v>-169.6208</v>
      </c>
      <c r="G2" s="12" t="s">
        <v>68</v>
      </c>
      <c r="H2" s="12" t="s">
        <v>69</v>
      </c>
      <c r="I2" s="12">
        <f>34.1551807628491</f>
        <v>34.15518076</v>
      </c>
      <c r="K2" s="11" t="s">
        <v>64</v>
      </c>
      <c r="L2" s="11" t="s">
        <v>64</v>
      </c>
      <c r="M2" s="11" t="s">
        <v>75</v>
      </c>
      <c r="N2" s="11">
        <v>1.42</v>
      </c>
      <c r="O2" s="11">
        <v>1.59</v>
      </c>
      <c r="P2" s="11">
        <f t="shared" ref="P2:P17" si="2">N2-O2</f>
        <v>-0.17</v>
      </c>
      <c r="Q2" s="11">
        <v>-2.06</v>
      </c>
      <c r="R2" s="11">
        <v>-1.18</v>
      </c>
      <c r="S2" s="23">
        <f t="shared" ref="S2:S17" si="3">Q2-R2</f>
        <v>-0.88</v>
      </c>
      <c r="T2" s="24">
        <f t="shared" ref="T2:T17" si="4">S2/3.281</f>
        <v>-0.2682109113</v>
      </c>
      <c r="U2" s="11">
        <v>0.0</v>
      </c>
      <c r="W2" s="12" t="s">
        <v>66</v>
      </c>
    </row>
    <row r="3" ht="15.75" customHeight="1">
      <c r="A3" s="25">
        <v>45663.89733796296</v>
      </c>
      <c r="B3" s="22">
        <f t="shared" si="1"/>
        <v>45663.439</v>
      </c>
      <c r="C3" s="11" t="s">
        <v>71</v>
      </c>
      <c r="D3" s="12" t="s">
        <v>267</v>
      </c>
      <c r="E3" s="12">
        <v>-14.1759</v>
      </c>
      <c r="F3" s="12">
        <v>-169.6215</v>
      </c>
      <c r="G3" s="12" t="s">
        <v>62</v>
      </c>
      <c r="H3" s="12" t="s">
        <v>63</v>
      </c>
      <c r="I3" s="12">
        <f>33.7609171957189</f>
        <v>33.7609172</v>
      </c>
      <c r="J3" s="12"/>
      <c r="K3" s="11" t="s">
        <v>64</v>
      </c>
      <c r="L3" s="11" t="s">
        <v>64</v>
      </c>
      <c r="M3" s="11" t="s">
        <v>75</v>
      </c>
      <c r="N3" s="11">
        <v>1.798</v>
      </c>
      <c r="O3" s="11">
        <v>1.59</v>
      </c>
      <c r="P3" s="11">
        <f t="shared" si="2"/>
        <v>0.208</v>
      </c>
      <c r="Q3" s="11">
        <v>-0.47</v>
      </c>
      <c r="R3" s="11">
        <v>-1.18</v>
      </c>
      <c r="S3" s="23">
        <f t="shared" si="3"/>
        <v>0.71</v>
      </c>
      <c r="T3" s="24">
        <f t="shared" si="4"/>
        <v>0.2163974398</v>
      </c>
      <c r="U3" s="11">
        <v>0.0</v>
      </c>
      <c r="V3" s="12"/>
      <c r="W3" s="12" t="s">
        <v>70</v>
      </c>
      <c r="X3" s="12"/>
      <c r="Y3" s="12"/>
      <c r="Z3" s="12"/>
      <c r="AA3" s="12"/>
    </row>
    <row r="4" ht="15.75" customHeight="1">
      <c r="A4" s="25">
        <v>45664.89844907408</v>
      </c>
      <c r="B4" s="22">
        <f t="shared" si="1"/>
        <v>45664.44012</v>
      </c>
      <c r="C4" s="11" t="s">
        <v>71</v>
      </c>
      <c r="D4" s="12" t="s">
        <v>268</v>
      </c>
      <c r="E4" s="12">
        <v>-14.175</v>
      </c>
      <c r="F4" s="12">
        <v>-169.6166</v>
      </c>
      <c r="G4" s="12" t="s">
        <v>62</v>
      </c>
      <c r="H4" s="12" t="s">
        <v>63</v>
      </c>
      <c r="I4" s="12">
        <f>30.470169630957</f>
        <v>30.47016963</v>
      </c>
      <c r="K4" s="11" t="s">
        <v>64</v>
      </c>
      <c r="L4" s="11" t="s">
        <v>64</v>
      </c>
      <c r="M4" s="11" t="s">
        <v>75</v>
      </c>
      <c r="N4" s="11">
        <v>1.63</v>
      </c>
      <c r="O4" s="11">
        <v>1.59</v>
      </c>
      <c r="P4" s="11">
        <f t="shared" si="2"/>
        <v>0.04</v>
      </c>
      <c r="Q4" s="11">
        <v>-0.96</v>
      </c>
      <c r="R4" s="11">
        <v>-1.18</v>
      </c>
      <c r="S4" s="23">
        <f t="shared" si="3"/>
        <v>0.22</v>
      </c>
      <c r="T4" s="24">
        <f t="shared" si="4"/>
        <v>0.06705272783</v>
      </c>
      <c r="U4" s="11">
        <v>0.0</v>
      </c>
      <c r="W4" s="12" t="s">
        <v>73</v>
      </c>
    </row>
    <row r="5" ht="15.75" customHeight="1">
      <c r="A5" s="25">
        <v>45669.84230324074</v>
      </c>
      <c r="B5" s="22">
        <f t="shared" si="1"/>
        <v>45669.38397</v>
      </c>
      <c r="C5" s="11" t="s">
        <v>60</v>
      </c>
      <c r="D5" s="11" t="s">
        <v>269</v>
      </c>
      <c r="E5" s="12">
        <v>-14.1745</v>
      </c>
      <c r="F5" s="12">
        <v>-169.6171</v>
      </c>
      <c r="G5" s="12" t="s">
        <v>62</v>
      </c>
      <c r="H5" s="12" t="s">
        <v>63</v>
      </c>
      <c r="I5" s="12">
        <f>25.7991845145915</f>
        <v>25.79918451</v>
      </c>
      <c r="K5" s="11" t="s">
        <v>64</v>
      </c>
      <c r="L5" s="11" t="s">
        <v>64</v>
      </c>
      <c r="N5" s="11">
        <v>1.528</v>
      </c>
      <c r="O5" s="11">
        <v>1.59</v>
      </c>
      <c r="P5" s="11">
        <f t="shared" si="2"/>
        <v>-0.062</v>
      </c>
      <c r="Q5" s="11">
        <v>-1.21</v>
      </c>
      <c r="R5" s="11">
        <v>-1.18</v>
      </c>
      <c r="S5" s="23">
        <f t="shared" si="3"/>
        <v>-0.03</v>
      </c>
      <c r="T5" s="24">
        <f t="shared" si="4"/>
        <v>-0.009143553795</v>
      </c>
      <c r="U5" s="11">
        <v>0.0</v>
      </c>
    </row>
    <row r="6" ht="15.75" customHeight="1">
      <c r="A6" s="25">
        <v>45698.40619212963</v>
      </c>
      <c r="B6" s="22">
        <f t="shared" si="1"/>
        <v>45697.94786</v>
      </c>
      <c r="C6" s="11" t="s">
        <v>82</v>
      </c>
      <c r="D6" s="12" t="s">
        <v>270</v>
      </c>
      <c r="E6" s="12">
        <v>-14.174</v>
      </c>
      <c r="F6" s="12">
        <v>-169.6164</v>
      </c>
      <c r="G6" s="11" t="s">
        <v>68</v>
      </c>
      <c r="H6" s="11" t="s">
        <v>69</v>
      </c>
      <c r="I6" s="12">
        <f>25.3943041586231</f>
        <v>25.39430416</v>
      </c>
      <c r="J6" s="11" t="s">
        <v>271</v>
      </c>
      <c r="K6" s="11" t="s">
        <v>64</v>
      </c>
      <c r="L6" s="11" t="s">
        <v>65</v>
      </c>
      <c r="M6" s="11" t="s">
        <v>75</v>
      </c>
      <c r="N6" s="11">
        <v>1.209</v>
      </c>
      <c r="O6" s="11">
        <v>1.61</v>
      </c>
      <c r="P6" s="11">
        <f t="shared" si="2"/>
        <v>-0.401</v>
      </c>
      <c r="Q6" s="11">
        <v>-2.6</v>
      </c>
      <c r="R6" s="11">
        <v>-1.18</v>
      </c>
      <c r="S6" s="23">
        <f t="shared" si="3"/>
        <v>-1.42</v>
      </c>
      <c r="T6" s="24">
        <f t="shared" si="4"/>
        <v>-0.4327948796</v>
      </c>
      <c r="U6" s="11">
        <v>0.0</v>
      </c>
    </row>
    <row r="7" ht="15.75" customHeight="1">
      <c r="A7" s="25">
        <v>45701.42188657408</v>
      </c>
      <c r="B7" s="22">
        <f t="shared" si="1"/>
        <v>45700.96355</v>
      </c>
      <c r="C7" s="11" t="s">
        <v>24</v>
      </c>
      <c r="D7" s="26" t="s">
        <v>272</v>
      </c>
      <c r="E7" s="27">
        <v>-14.1742</v>
      </c>
      <c r="F7" s="27">
        <v>-169.6175</v>
      </c>
      <c r="G7" s="11" t="s">
        <v>68</v>
      </c>
      <c r="H7" s="11" t="s">
        <v>63</v>
      </c>
      <c r="I7" s="12">
        <f>15.3894216818776</f>
        <v>15.38942168</v>
      </c>
      <c r="K7" s="11" t="s">
        <v>64</v>
      </c>
      <c r="L7" s="11" t="s">
        <v>64</v>
      </c>
      <c r="N7" s="11">
        <v>1.53</v>
      </c>
      <c r="O7" s="11">
        <v>1.61</v>
      </c>
      <c r="P7" s="11">
        <f t="shared" si="2"/>
        <v>-0.08</v>
      </c>
      <c r="Q7" s="11">
        <v>-1.14</v>
      </c>
      <c r="R7" s="11">
        <v>-1.18</v>
      </c>
      <c r="S7" s="23">
        <f t="shared" si="3"/>
        <v>0.04</v>
      </c>
      <c r="T7" s="24">
        <f t="shared" si="4"/>
        <v>0.01219140506</v>
      </c>
      <c r="U7" s="11">
        <v>0.0</v>
      </c>
    </row>
    <row r="8" ht="15.75" customHeight="1">
      <c r="A8" s="25">
        <v>45706.422638888886</v>
      </c>
      <c r="B8" s="22">
        <f t="shared" si="1"/>
        <v>45705.96431</v>
      </c>
      <c r="C8" s="11" t="s">
        <v>71</v>
      </c>
      <c r="D8" s="26" t="s">
        <v>273</v>
      </c>
      <c r="E8" s="27">
        <v>-14.1745</v>
      </c>
      <c r="F8" s="27">
        <v>-169.6167</v>
      </c>
      <c r="G8" s="11" t="s">
        <v>68</v>
      </c>
      <c r="H8" s="11" t="s">
        <v>63</v>
      </c>
      <c r="I8" s="12">
        <f>24.4835861534411</f>
        <v>24.48358615</v>
      </c>
      <c r="J8" s="12"/>
      <c r="K8" s="11" t="s">
        <v>64</v>
      </c>
      <c r="L8" s="11" t="s">
        <v>65</v>
      </c>
      <c r="M8" s="12"/>
      <c r="N8" s="11">
        <v>1.937</v>
      </c>
      <c r="O8" s="11">
        <v>1.63</v>
      </c>
      <c r="P8" s="11">
        <f t="shared" si="2"/>
        <v>0.307</v>
      </c>
      <c r="Q8" s="11">
        <v>-0.2</v>
      </c>
      <c r="R8" s="11">
        <v>-1.18</v>
      </c>
      <c r="S8" s="23">
        <f t="shared" si="3"/>
        <v>0.98</v>
      </c>
      <c r="T8" s="24">
        <f t="shared" si="4"/>
        <v>0.298689424</v>
      </c>
      <c r="U8" s="11">
        <v>0.0</v>
      </c>
      <c r="V8" s="12"/>
      <c r="W8" s="12"/>
      <c r="X8" s="12"/>
      <c r="Y8" s="12"/>
      <c r="Z8" s="12"/>
      <c r="AA8" s="12"/>
    </row>
    <row r="9" ht="15.75" customHeight="1">
      <c r="A9" s="25">
        <v>45729.90125</v>
      </c>
      <c r="B9" s="22">
        <f t="shared" si="1"/>
        <v>45729.44292</v>
      </c>
      <c r="C9" s="11" t="s">
        <v>24</v>
      </c>
      <c r="D9" s="11" t="s">
        <v>274</v>
      </c>
      <c r="E9" s="12">
        <v>-14.1742</v>
      </c>
      <c r="F9" s="12">
        <v>-169.6165</v>
      </c>
      <c r="G9" s="11" t="s">
        <v>62</v>
      </c>
      <c r="H9" s="11" t="s">
        <v>63</v>
      </c>
      <c r="I9" s="11">
        <v>20.52454820572</v>
      </c>
      <c r="J9" s="11" t="s">
        <v>271</v>
      </c>
      <c r="K9" s="11" t="s">
        <v>64</v>
      </c>
      <c r="L9" s="11" t="s">
        <v>64</v>
      </c>
      <c r="M9" s="11" t="s">
        <v>75</v>
      </c>
      <c r="N9" s="11">
        <v>1.287</v>
      </c>
      <c r="O9" s="11">
        <v>1.63</v>
      </c>
      <c r="P9" s="11">
        <f t="shared" si="2"/>
        <v>-0.343</v>
      </c>
      <c r="Q9" s="11">
        <v>-1.78</v>
      </c>
      <c r="R9" s="11">
        <v>-1.18</v>
      </c>
      <c r="S9" s="23">
        <f t="shared" si="3"/>
        <v>-0.6</v>
      </c>
      <c r="T9" s="24">
        <f t="shared" si="4"/>
        <v>-0.1828710759</v>
      </c>
      <c r="U9" s="11">
        <v>0.0</v>
      </c>
    </row>
    <row r="10" ht="15.75" customHeight="1">
      <c r="A10" s="25">
        <v>45749.354537037034</v>
      </c>
      <c r="B10" s="22">
        <f t="shared" si="1"/>
        <v>45748.8962</v>
      </c>
      <c r="C10" s="11" t="s">
        <v>275</v>
      </c>
      <c r="D10" s="26" t="s">
        <v>276</v>
      </c>
      <c r="E10" s="27">
        <v>-14.1746</v>
      </c>
      <c r="F10" s="27">
        <v>-169.6167</v>
      </c>
      <c r="G10" s="11" t="s">
        <v>68</v>
      </c>
      <c r="H10" s="11" t="s">
        <v>69</v>
      </c>
      <c r="I10" s="12">
        <f>16.6503440937114</f>
        <v>16.65034409</v>
      </c>
      <c r="J10" s="12"/>
      <c r="K10" s="11" t="s">
        <v>64</v>
      </c>
      <c r="L10" s="11" t="s">
        <v>65</v>
      </c>
      <c r="M10" s="12"/>
      <c r="N10" s="11">
        <v>2.019</v>
      </c>
      <c r="O10" s="11">
        <v>1.66</v>
      </c>
      <c r="P10" s="11">
        <f t="shared" si="2"/>
        <v>0.359</v>
      </c>
      <c r="Q10" s="11">
        <v>0.3</v>
      </c>
      <c r="R10" s="11">
        <v>-1.18</v>
      </c>
      <c r="S10" s="23">
        <f t="shared" si="3"/>
        <v>1.48</v>
      </c>
      <c r="T10" s="24">
        <f t="shared" si="4"/>
        <v>0.4510819872</v>
      </c>
      <c r="U10" s="11">
        <v>0.0</v>
      </c>
      <c r="V10" s="12"/>
      <c r="W10" s="12"/>
      <c r="X10" s="12"/>
      <c r="Y10" s="12"/>
      <c r="Z10" s="12"/>
      <c r="AA10" s="12"/>
    </row>
    <row r="11" ht="15.75" customHeight="1">
      <c r="A11" s="21">
        <v>45785.85186342592</v>
      </c>
      <c r="B11" s="22">
        <f t="shared" si="1"/>
        <v>45785.39353</v>
      </c>
      <c r="C11" s="11" t="s">
        <v>71</v>
      </c>
      <c r="D11" s="36" t="s">
        <v>277</v>
      </c>
      <c r="E11" s="27">
        <v>-14.1746</v>
      </c>
      <c r="F11" s="27">
        <v>-169.6167</v>
      </c>
      <c r="G11" s="11" t="s">
        <v>62</v>
      </c>
      <c r="H11" s="11" t="s">
        <v>69</v>
      </c>
      <c r="I11" s="11">
        <v>15.6890986495265</v>
      </c>
      <c r="K11" s="11" t="s">
        <v>64</v>
      </c>
      <c r="L11" s="11" t="s">
        <v>65</v>
      </c>
      <c r="N11" s="11">
        <v>1.395</v>
      </c>
      <c r="O11" s="11">
        <v>1.66</v>
      </c>
      <c r="P11" s="11">
        <f t="shared" si="2"/>
        <v>-0.265</v>
      </c>
      <c r="Q11" s="11">
        <v>-1.65</v>
      </c>
      <c r="R11" s="11">
        <v>-1.18</v>
      </c>
      <c r="S11" s="23">
        <f t="shared" si="3"/>
        <v>-0.47</v>
      </c>
      <c r="T11" s="24">
        <f t="shared" si="4"/>
        <v>-0.1432490094</v>
      </c>
      <c r="U11" s="11">
        <v>0.03</v>
      </c>
    </row>
    <row r="12" ht="15.75" customHeight="1">
      <c r="A12" s="21">
        <v>45788.35391203704</v>
      </c>
      <c r="B12" s="22">
        <f t="shared" si="1"/>
        <v>45787.89558</v>
      </c>
      <c r="C12" s="11" t="s">
        <v>71</v>
      </c>
      <c r="D12" s="36" t="s">
        <v>278</v>
      </c>
      <c r="E12" s="27">
        <v>-14.1746</v>
      </c>
      <c r="F12" s="27">
        <v>-169.6167</v>
      </c>
      <c r="G12" s="11" t="s">
        <v>68</v>
      </c>
      <c r="H12" s="11" t="s">
        <v>69</v>
      </c>
      <c r="I12" s="11">
        <v>33.3157908178521</v>
      </c>
      <c r="J12" s="11" t="s">
        <v>271</v>
      </c>
      <c r="K12" s="11" t="s">
        <v>64</v>
      </c>
      <c r="L12" s="11" t="s">
        <v>65</v>
      </c>
      <c r="M12" s="11" t="s">
        <v>75</v>
      </c>
      <c r="N12" s="11">
        <v>1.464</v>
      </c>
      <c r="O12" s="11">
        <v>1.66</v>
      </c>
      <c r="P12" s="11">
        <f t="shared" si="2"/>
        <v>-0.196</v>
      </c>
      <c r="Q12" s="11">
        <v>-1.1</v>
      </c>
      <c r="R12" s="11">
        <v>-1.18</v>
      </c>
      <c r="S12" s="23">
        <f t="shared" si="3"/>
        <v>0.08</v>
      </c>
      <c r="T12" s="24">
        <f t="shared" si="4"/>
        <v>0.02438281012</v>
      </c>
      <c r="U12" s="11">
        <v>0.0</v>
      </c>
    </row>
    <row r="13" ht="15.75" customHeight="1">
      <c r="A13" s="21">
        <v>45802.84342592592</v>
      </c>
      <c r="B13" s="22">
        <f t="shared" si="1"/>
        <v>45802.38509</v>
      </c>
      <c r="C13" s="11" t="s">
        <v>89</v>
      </c>
      <c r="D13" s="12" t="s">
        <v>279</v>
      </c>
      <c r="E13" s="27">
        <v>-14.1746</v>
      </c>
      <c r="F13" s="27">
        <v>-169.6167</v>
      </c>
      <c r="G13" s="11" t="s">
        <v>62</v>
      </c>
      <c r="H13" s="11" t="s">
        <v>63</v>
      </c>
      <c r="I13" s="11">
        <v>34.4029562797589</v>
      </c>
      <c r="J13" s="11"/>
      <c r="K13" s="11" t="s">
        <v>65</v>
      </c>
      <c r="L13" s="11" t="s">
        <v>65</v>
      </c>
      <c r="M13" s="11" t="s">
        <v>75</v>
      </c>
      <c r="N13" s="11">
        <v>1.49</v>
      </c>
      <c r="O13" s="11">
        <v>1.58</v>
      </c>
      <c r="P13" s="11">
        <f t="shared" si="2"/>
        <v>-0.09</v>
      </c>
      <c r="Q13" s="11">
        <v>-1.3</v>
      </c>
      <c r="R13" s="11">
        <v>-1.18</v>
      </c>
      <c r="S13" s="23">
        <f t="shared" si="3"/>
        <v>-0.12</v>
      </c>
      <c r="T13" s="24">
        <f t="shared" si="4"/>
        <v>-0.03657421518</v>
      </c>
      <c r="U13" s="11">
        <v>0.06</v>
      </c>
    </row>
    <row r="14" ht="15.75" customHeight="1">
      <c r="A14" s="21">
        <v>45807.41721064815</v>
      </c>
      <c r="B14" s="22">
        <f t="shared" si="1"/>
        <v>45806.95888</v>
      </c>
      <c r="C14" s="11" t="s">
        <v>184</v>
      </c>
      <c r="D14" s="26" t="s">
        <v>280</v>
      </c>
      <c r="E14" s="27">
        <v>-14.1746</v>
      </c>
      <c r="F14" s="27">
        <v>-169.6167</v>
      </c>
      <c r="G14" s="11" t="s">
        <v>68</v>
      </c>
      <c r="H14" s="11" t="s">
        <v>69</v>
      </c>
      <c r="I14" s="11">
        <v>23.019218719721</v>
      </c>
      <c r="J14" s="11" t="s">
        <v>271</v>
      </c>
      <c r="K14" s="11" t="s">
        <v>65</v>
      </c>
      <c r="L14" s="11" t="s">
        <v>65</v>
      </c>
      <c r="M14" s="11"/>
      <c r="N14" s="11">
        <v>1.842</v>
      </c>
      <c r="O14" s="11">
        <v>1.58</v>
      </c>
      <c r="P14" s="11">
        <f t="shared" si="2"/>
        <v>0.262</v>
      </c>
      <c r="Q14" s="11">
        <v>-0.26</v>
      </c>
      <c r="R14" s="11">
        <v>-1.18</v>
      </c>
      <c r="S14" s="23">
        <f t="shared" si="3"/>
        <v>0.92</v>
      </c>
      <c r="T14" s="24">
        <f t="shared" si="4"/>
        <v>0.2804023164</v>
      </c>
      <c r="U14" s="11">
        <v>0.0</v>
      </c>
      <c r="V14" s="12"/>
      <c r="W14" s="12"/>
      <c r="X14" s="12"/>
      <c r="Y14" s="12"/>
      <c r="Z14" s="12"/>
      <c r="AA14" s="12"/>
    </row>
    <row r="15" ht="15.75" customHeight="1">
      <c r="A15" s="21">
        <v>45807.41732638889</v>
      </c>
      <c r="B15" s="22">
        <f t="shared" si="1"/>
        <v>45806.95899</v>
      </c>
      <c r="C15" s="11" t="s">
        <v>184</v>
      </c>
      <c r="D15" s="26" t="s">
        <v>281</v>
      </c>
      <c r="E15" s="27">
        <v>-14.1746</v>
      </c>
      <c r="F15" s="27">
        <v>-169.6167</v>
      </c>
      <c r="G15" s="11" t="s">
        <v>68</v>
      </c>
      <c r="H15" s="11" t="s">
        <v>69</v>
      </c>
      <c r="I15" s="11">
        <v>22.5391165884311</v>
      </c>
      <c r="J15" s="11" t="s">
        <v>271</v>
      </c>
      <c r="K15" s="11" t="s">
        <v>65</v>
      </c>
      <c r="L15" s="11" t="s">
        <v>65</v>
      </c>
      <c r="M15" s="12"/>
      <c r="N15" s="11">
        <v>1.842</v>
      </c>
      <c r="O15" s="11">
        <v>1.58</v>
      </c>
      <c r="P15" s="11">
        <f t="shared" si="2"/>
        <v>0.262</v>
      </c>
      <c r="Q15" s="11">
        <v>-0.26</v>
      </c>
      <c r="R15" s="11">
        <v>-1.18</v>
      </c>
      <c r="S15" s="23">
        <f t="shared" si="3"/>
        <v>0.92</v>
      </c>
      <c r="T15" s="24">
        <f t="shared" si="4"/>
        <v>0.2804023164</v>
      </c>
      <c r="U15" s="11">
        <v>0.0</v>
      </c>
      <c r="V15" s="12"/>
      <c r="W15" s="12"/>
      <c r="X15" s="12"/>
      <c r="Y15" s="12"/>
      <c r="Z15" s="12"/>
      <c r="AA15" s="12"/>
    </row>
    <row r="16" ht="15.75" customHeight="1">
      <c r="A16" s="21">
        <v>45816.402916666666</v>
      </c>
      <c r="B16" s="22">
        <f t="shared" si="1"/>
        <v>45815.94458</v>
      </c>
      <c r="C16" s="11" t="s">
        <v>282</v>
      </c>
      <c r="D16" s="11" t="s">
        <v>283</v>
      </c>
      <c r="E16" s="27">
        <v>-14.1746</v>
      </c>
      <c r="F16" s="27">
        <v>-169.6167</v>
      </c>
      <c r="G16" s="11" t="s">
        <v>68</v>
      </c>
      <c r="H16" s="11" t="s">
        <v>69</v>
      </c>
      <c r="I16" s="11">
        <v>34.7521722916301</v>
      </c>
      <c r="J16" s="11"/>
      <c r="K16" s="11" t="s">
        <v>65</v>
      </c>
      <c r="L16" s="11" t="s">
        <v>65</v>
      </c>
      <c r="M16" s="11" t="s">
        <v>75</v>
      </c>
      <c r="N16" s="11">
        <v>1.306</v>
      </c>
      <c r="O16" s="11">
        <v>1.58</v>
      </c>
      <c r="P16" s="11">
        <f t="shared" si="2"/>
        <v>-0.274</v>
      </c>
      <c r="Q16" s="11">
        <v>-2.22</v>
      </c>
      <c r="R16" s="11">
        <v>-1.18</v>
      </c>
      <c r="S16" s="23">
        <f t="shared" si="3"/>
        <v>-1.04</v>
      </c>
      <c r="T16" s="24">
        <f t="shared" si="4"/>
        <v>-0.3169765315</v>
      </c>
      <c r="U16" s="11">
        <v>0.0</v>
      </c>
    </row>
    <row r="17" ht="15.75" customHeight="1">
      <c r="A17" s="21">
        <v>45823.35650462963</v>
      </c>
      <c r="B17" s="22">
        <f t="shared" si="1"/>
        <v>45822.89817</v>
      </c>
      <c r="C17" s="11" t="s">
        <v>284</v>
      </c>
      <c r="D17" s="26" t="s">
        <v>285</v>
      </c>
      <c r="E17" s="27">
        <v>-14.1746</v>
      </c>
      <c r="F17" s="27">
        <v>-169.6167</v>
      </c>
      <c r="G17" s="11" t="s">
        <v>68</v>
      </c>
      <c r="H17" s="11" t="s">
        <v>69</v>
      </c>
      <c r="I17" s="11">
        <v>28.7273407652155</v>
      </c>
      <c r="J17" s="11" t="s">
        <v>271</v>
      </c>
      <c r="K17" s="11" t="s">
        <v>65</v>
      </c>
      <c r="L17" s="11" t="s">
        <v>65</v>
      </c>
      <c r="N17" s="11">
        <v>1.88</v>
      </c>
      <c r="O17" s="11">
        <v>1.58</v>
      </c>
      <c r="P17" s="11">
        <f t="shared" si="2"/>
        <v>0.3</v>
      </c>
      <c r="Q17" s="11">
        <v>-0.32</v>
      </c>
      <c r="R17" s="11">
        <v>-1.18</v>
      </c>
      <c r="S17" s="23">
        <f t="shared" si="3"/>
        <v>0.86</v>
      </c>
      <c r="T17" s="24">
        <f t="shared" si="4"/>
        <v>0.2621152088</v>
      </c>
      <c r="U17" s="11">
        <v>0.0</v>
      </c>
    </row>
    <row r="18" ht="15.75" customHeight="1">
      <c r="R18" s="11"/>
      <c r="S18" s="23"/>
      <c r="T18" s="24"/>
    </row>
    <row r="19" ht="15.75" customHeight="1">
      <c r="R19" s="11"/>
      <c r="S19" s="23"/>
      <c r="T19" s="24"/>
    </row>
    <row r="20" ht="15.75" customHeight="1">
      <c r="R20" s="11"/>
      <c r="S20" s="23"/>
      <c r="T20" s="24"/>
    </row>
    <row r="21" ht="15.75" customHeight="1">
      <c r="R21" s="11"/>
      <c r="S21" s="23"/>
      <c r="T21" s="24"/>
    </row>
    <row r="22" ht="15.75" customHeight="1">
      <c r="R22" s="11"/>
      <c r="S22" s="23"/>
      <c r="T22" s="2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onditionalFormatting sqref="A2:X100">
    <cfRule type="expression" dxfId="0" priority="1">
      <formula>$Q2&gt;0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22"/>
    <col customWidth="1" min="3" max="3" width="34.67"/>
    <col customWidth="1" min="4" max="4" width="34.89"/>
    <col customWidth="1" min="5" max="9" width="10.56"/>
    <col customWidth="1" min="10" max="10" width="17.33"/>
    <col customWidth="1" min="11" max="13" width="10.56"/>
    <col customWidth="1" min="14" max="14" width="15.33"/>
    <col customWidth="1" min="15" max="15" width="17.89"/>
    <col customWidth="1" min="16" max="16" width="10.33"/>
    <col customWidth="1" min="17" max="17" width="21.89"/>
    <col customWidth="1" min="18" max="18" width="14.44"/>
    <col customWidth="1" min="19" max="19" width="15.78"/>
    <col customWidth="1" min="20" max="20" width="10.56"/>
    <col customWidth="1" min="21" max="21" width="16.67"/>
    <col customWidth="1" min="22" max="27" width="10.56"/>
  </cols>
  <sheetData>
    <row r="1" ht="15.75" customHeight="1">
      <c r="A1" s="16" t="s">
        <v>108</v>
      </c>
      <c r="B1" s="16" t="s">
        <v>44</v>
      </c>
      <c r="C1" s="16" t="s">
        <v>9</v>
      </c>
      <c r="D1" s="30" t="s">
        <v>45</v>
      </c>
      <c r="E1" s="30" t="s">
        <v>46</v>
      </c>
      <c r="F1" s="30" t="s">
        <v>47</v>
      </c>
      <c r="G1" s="31" t="s">
        <v>48</v>
      </c>
      <c r="H1" s="31" t="s">
        <v>49</v>
      </c>
      <c r="I1" s="31" t="s">
        <v>50</v>
      </c>
      <c r="J1" s="16" t="s">
        <v>2</v>
      </c>
      <c r="K1" s="16" t="s">
        <v>51</v>
      </c>
      <c r="L1" s="16" t="s">
        <v>52</v>
      </c>
      <c r="M1" s="16" t="s">
        <v>53</v>
      </c>
      <c r="N1" s="16" t="s">
        <v>286</v>
      </c>
      <c r="O1" s="16" t="s">
        <v>159</v>
      </c>
      <c r="P1" s="16" t="s">
        <v>287</v>
      </c>
      <c r="Q1" s="16" t="s">
        <v>54</v>
      </c>
      <c r="R1" s="16" t="s">
        <v>55</v>
      </c>
      <c r="S1" s="16" t="s">
        <v>56</v>
      </c>
      <c r="T1" s="19" t="s">
        <v>57</v>
      </c>
      <c r="U1" s="16" t="s">
        <v>58</v>
      </c>
      <c r="V1" s="23"/>
      <c r="W1" s="20" t="s">
        <v>59</v>
      </c>
      <c r="X1" s="23"/>
      <c r="Y1" s="23"/>
      <c r="Z1" s="23"/>
      <c r="AA1" s="23"/>
    </row>
    <row r="2" ht="15.75" customHeight="1">
      <c r="A2" s="25">
        <v>45596.40109953703</v>
      </c>
      <c r="B2" s="22">
        <f t="shared" ref="B2:B23" si="1">A2-time(11,0,0)</f>
        <v>45595.94277</v>
      </c>
      <c r="C2" s="11" t="s">
        <v>244</v>
      </c>
      <c r="D2" s="11" t="s">
        <v>288</v>
      </c>
      <c r="E2" s="12">
        <v>-14.2212</v>
      </c>
      <c r="F2" s="12">
        <v>-169.5121</v>
      </c>
      <c r="G2" s="12" t="s">
        <v>68</v>
      </c>
      <c r="H2" s="12" t="s">
        <v>69</v>
      </c>
      <c r="I2" s="12">
        <f>19.2714209766534</f>
        <v>19.27142098</v>
      </c>
      <c r="K2" s="11" t="s">
        <v>64</v>
      </c>
      <c r="L2" s="11" t="s">
        <v>65</v>
      </c>
      <c r="N2" s="11">
        <v>1.178</v>
      </c>
      <c r="O2" s="11">
        <v>1.44</v>
      </c>
      <c r="P2" s="11">
        <f t="shared" ref="P2:P13" si="2">N2-O2</f>
        <v>-0.262</v>
      </c>
      <c r="Q2" s="11">
        <v>-1.98</v>
      </c>
      <c r="R2" s="11">
        <v>-1.18</v>
      </c>
      <c r="S2" s="23">
        <f t="shared" ref="S2:S23" si="3">Q2-R2</f>
        <v>-0.8</v>
      </c>
      <c r="T2" s="24">
        <f t="shared" ref="T2:T23" si="4">S2/3.281</f>
        <v>-0.2438281012</v>
      </c>
      <c r="U2" s="11">
        <v>0.0</v>
      </c>
      <c r="W2" s="12" t="s">
        <v>66</v>
      </c>
    </row>
    <row r="3" ht="15.75" customHeight="1">
      <c r="A3" s="25">
        <v>45612.841516203705</v>
      </c>
      <c r="B3" s="22">
        <f t="shared" si="1"/>
        <v>45612.38318</v>
      </c>
      <c r="C3" s="11" t="s">
        <v>71</v>
      </c>
      <c r="D3" s="12" t="s">
        <v>289</v>
      </c>
      <c r="E3" s="12">
        <v>-14.2247</v>
      </c>
      <c r="F3" s="12">
        <v>-169.5129</v>
      </c>
      <c r="G3" s="12" t="s">
        <v>62</v>
      </c>
      <c r="H3" s="12" t="s">
        <v>63</v>
      </c>
      <c r="I3" s="12">
        <f>20.8603089508669</f>
        <v>20.86030895</v>
      </c>
      <c r="J3" s="11" t="s">
        <v>290</v>
      </c>
      <c r="K3" s="11" t="s">
        <v>64</v>
      </c>
      <c r="L3" s="11" t="s">
        <v>65</v>
      </c>
      <c r="M3" s="12"/>
      <c r="N3" s="11">
        <v>1.613</v>
      </c>
      <c r="O3" s="11">
        <v>1.39</v>
      </c>
      <c r="P3" s="11">
        <f t="shared" si="2"/>
        <v>0.223</v>
      </c>
      <c r="Q3" s="11">
        <v>-0.5</v>
      </c>
      <c r="R3" s="11">
        <v>-1.18</v>
      </c>
      <c r="S3" s="23">
        <f t="shared" si="3"/>
        <v>0.68</v>
      </c>
      <c r="T3" s="24">
        <f t="shared" si="4"/>
        <v>0.207253886</v>
      </c>
      <c r="U3" s="11">
        <v>0.0</v>
      </c>
      <c r="V3" s="12"/>
      <c r="W3" s="12" t="s">
        <v>70</v>
      </c>
      <c r="X3" s="12"/>
      <c r="Y3" s="12"/>
      <c r="Z3" s="12"/>
      <c r="AA3" s="12"/>
    </row>
    <row r="4" ht="15.75" customHeight="1">
      <c r="A4" s="25">
        <v>45617.345</v>
      </c>
      <c r="B4" s="22">
        <f t="shared" si="1"/>
        <v>45616.88667</v>
      </c>
      <c r="C4" s="11" t="s">
        <v>71</v>
      </c>
      <c r="D4" s="12" t="s">
        <v>291</v>
      </c>
      <c r="E4" s="12">
        <v>-14.227</v>
      </c>
      <c r="F4" s="12">
        <v>-169.5008</v>
      </c>
      <c r="G4" s="12" t="s">
        <v>68</v>
      </c>
      <c r="H4" s="12" t="s">
        <v>69</v>
      </c>
      <c r="I4" s="12">
        <f>46.1457664521294</f>
        <v>46.14576645</v>
      </c>
      <c r="K4" s="11" t="s">
        <v>64</v>
      </c>
      <c r="L4" s="11" t="s">
        <v>64</v>
      </c>
      <c r="M4" s="11" t="s">
        <v>75</v>
      </c>
      <c r="N4" s="11">
        <v>1.47</v>
      </c>
      <c r="O4" s="11">
        <v>1.39</v>
      </c>
      <c r="P4" s="11">
        <f t="shared" si="2"/>
        <v>0.08</v>
      </c>
      <c r="Q4" s="11">
        <v>-1.21</v>
      </c>
      <c r="R4" s="11">
        <v>-1.18</v>
      </c>
      <c r="S4" s="23">
        <f t="shared" si="3"/>
        <v>-0.03</v>
      </c>
      <c r="T4" s="24">
        <f t="shared" si="4"/>
        <v>-0.009143553795</v>
      </c>
      <c r="U4" s="11">
        <v>0.12</v>
      </c>
      <c r="W4" s="12" t="s">
        <v>73</v>
      </c>
    </row>
    <row r="5" ht="15.75" customHeight="1">
      <c r="A5" s="25">
        <v>45646.83814814815</v>
      </c>
      <c r="B5" s="22">
        <f t="shared" si="1"/>
        <v>45646.37981</v>
      </c>
      <c r="C5" s="11" t="s">
        <v>60</v>
      </c>
      <c r="D5" s="12" t="s">
        <v>292</v>
      </c>
      <c r="E5" s="12">
        <v>-14.2287</v>
      </c>
      <c r="F5" s="12">
        <v>-169.5032</v>
      </c>
      <c r="G5" s="12" t="s">
        <v>62</v>
      </c>
      <c r="H5" s="12" t="s">
        <v>63</v>
      </c>
      <c r="I5" s="12">
        <f>34.7833128188001</f>
        <v>34.78331282</v>
      </c>
      <c r="K5" s="11" t="s">
        <v>64</v>
      </c>
      <c r="L5" s="11" t="s">
        <v>64</v>
      </c>
      <c r="M5" s="11" t="s">
        <v>75</v>
      </c>
      <c r="N5" s="11">
        <v>1.469</v>
      </c>
      <c r="O5" s="11">
        <v>1.44</v>
      </c>
      <c r="P5" s="11">
        <f t="shared" si="2"/>
        <v>0.029</v>
      </c>
      <c r="Q5" s="11">
        <v>-1.3</v>
      </c>
      <c r="R5" s="11">
        <v>-1.18</v>
      </c>
      <c r="S5" s="23">
        <f t="shared" si="3"/>
        <v>-0.12</v>
      </c>
      <c r="T5" s="24">
        <f t="shared" si="4"/>
        <v>-0.03657421518</v>
      </c>
      <c r="U5" s="11">
        <v>0.0</v>
      </c>
    </row>
    <row r="6" ht="15.75" customHeight="1">
      <c r="A6" s="25">
        <v>45647.890497685185</v>
      </c>
      <c r="B6" s="22">
        <f t="shared" si="1"/>
        <v>45647.43216</v>
      </c>
      <c r="C6" s="11" t="s">
        <v>244</v>
      </c>
      <c r="D6" s="12" t="s">
        <v>293</v>
      </c>
      <c r="E6" s="12">
        <v>-14.2252</v>
      </c>
      <c r="F6" s="12">
        <v>-169.5108</v>
      </c>
      <c r="G6" s="12" t="s">
        <v>62</v>
      </c>
      <c r="H6" s="12" t="s">
        <v>294</v>
      </c>
      <c r="I6" s="12">
        <f>49.227315099923</f>
        <v>49.2273151</v>
      </c>
      <c r="K6" s="11" t="s">
        <v>64</v>
      </c>
      <c r="L6" s="11" t="s">
        <v>64</v>
      </c>
      <c r="M6" s="11" t="s">
        <v>75</v>
      </c>
      <c r="N6" s="11">
        <v>1.526</v>
      </c>
      <c r="O6" s="11">
        <v>1.44</v>
      </c>
      <c r="P6" s="11">
        <f t="shared" si="2"/>
        <v>0.086</v>
      </c>
      <c r="Q6" s="11">
        <v>-1.07</v>
      </c>
      <c r="R6" s="11">
        <v>-1.18</v>
      </c>
      <c r="S6" s="23">
        <f t="shared" si="3"/>
        <v>0.11</v>
      </c>
      <c r="T6" s="24">
        <f t="shared" si="4"/>
        <v>0.03352636391</v>
      </c>
      <c r="U6" s="11">
        <v>0.0</v>
      </c>
    </row>
    <row r="7" ht="15.75" customHeight="1">
      <c r="A7" s="25">
        <v>45661.89475694444</v>
      </c>
      <c r="B7" s="22">
        <f t="shared" si="1"/>
        <v>45661.43642</v>
      </c>
      <c r="C7" s="11" t="s">
        <v>71</v>
      </c>
      <c r="D7" s="12" t="s">
        <v>295</v>
      </c>
      <c r="E7" s="12">
        <v>-14.2275</v>
      </c>
      <c r="F7" s="12">
        <v>-169.505</v>
      </c>
      <c r="G7" s="12" t="s">
        <v>62</v>
      </c>
      <c r="H7" s="12" t="s">
        <v>63</v>
      </c>
      <c r="I7" s="12">
        <f>40.0730384616252</f>
        <v>40.07303846</v>
      </c>
      <c r="J7" s="12"/>
      <c r="K7" s="11" t="s">
        <v>64</v>
      </c>
      <c r="L7" s="11" t="s">
        <v>64</v>
      </c>
      <c r="M7" s="11" t="s">
        <v>75</v>
      </c>
      <c r="N7" s="11">
        <v>1.824</v>
      </c>
      <c r="O7" s="11">
        <v>1.44</v>
      </c>
      <c r="P7" s="11">
        <f t="shared" si="2"/>
        <v>0.384</v>
      </c>
      <c r="Q7" s="11">
        <v>-0.13</v>
      </c>
      <c r="R7" s="11">
        <v>-1.18</v>
      </c>
      <c r="S7" s="23">
        <f t="shared" si="3"/>
        <v>1.05</v>
      </c>
      <c r="T7" s="24">
        <f t="shared" si="4"/>
        <v>0.3200243828</v>
      </c>
      <c r="U7" s="11">
        <v>0.01</v>
      </c>
      <c r="V7" s="12"/>
      <c r="W7" s="12"/>
      <c r="X7" s="12"/>
      <c r="Y7" s="12"/>
      <c r="Z7" s="12"/>
      <c r="AA7" s="12"/>
    </row>
    <row r="8" ht="15.75" customHeight="1">
      <c r="A8" s="25">
        <v>45665.834502314814</v>
      </c>
      <c r="B8" s="22">
        <f t="shared" si="1"/>
        <v>45665.37617</v>
      </c>
      <c r="C8" s="11" t="s">
        <v>71</v>
      </c>
      <c r="D8" s="12" t="s">
        <v>296</v>
      </c>
      <c r="E8" s="12">
        <v>-14.2284</v>
      </c>
      <c r="F8" s="12">
        <v>-169.5009</v>
      </c>
      <c r="G8" s="12" t="s">
        <v>62</v>
      </c>
      <c r="H8" s="12" t="s">
        <v>63</v>
      </c>
      <c r="I8" s="12">
        <f>45.3522646693049</f>
        <v>45.35226467</v>
      </c>
      <c r="K8" s="11" t="s">
        <v>64</v>
      </c>
      <c r="L8" s="11" t="s">
        <v>64</v>
      </c>
      <c r="M8" s="11" t="s">
        <v>75</v>
      </c>
      <c r="N8" s="11">
        <v>1.091</v>
      </c>
      <c r="O8" s="11">
        <v>1.44</v>
      </c>
      <c r="P8" s="11">
        <f t="shared" si="2"/>
        <v>-0.349</v>
      </c>
      <c r="Q8" s="11">
        <v>-2.35</v>
      </c>
      <c r="R8" s="11">
        <v>-1.18</v>
      </c>
      <c r="S8" s="23">
        <f t="shared" si="3"/>
        <v>-1.17</v>
      </c>
      <c r="T8" s="24">
        <f t="shared" si="4"/>
        <v>-0.356598598</v>
      </c>
      <c r="U8" s="11">
        <v>0.03</v>
      </c>
    </row>
    <row r="9" ht="15.75" customHeight="1">
      <c r="A9" s="25">
        <v>45667.88630787037</v>
      </c>
      <c r="B9" s="22">
        <f t="shared" si="1"/>
        <v>45667.42797</v>
      </c>
      <c r="C9" s="11" t="s">
        <v>71</v>
      </c>
      <c r="D9" s="12" t="s">
        <v>297</v>
      </c>
      <c r="E9" s="12">
        <v>-14.2287</v>
      </c>
      <c r="F9" s="12">
        <v>-169.5019</v>
      </c>
      <c r="G9" s="12" t="s">
        <v>62</v>
      </c>
      <c r="H9" s="12" t="s">
        <v>63</v>
      </c>
      <c r="I9" s="12">
        <f>39.455654277547</f>
        <v>39.45565428</v>
      </c>
      <c r="K9" s="11" t="s">
        <v>64</v>
      </c>
      <c r="L9" s="11" t="s">
        <v>64</v>
      </c>
      <c r="M9" s="11" t="s">
        <v>75</v>
      </c>
      <c r="N9" s="11">
        <v>1.104</v>
      </c>
      <c r="O9" s="11">
        <v>1.44</v>
      </c>
      <c r="P9" s="11">
        <f t="shared" si="2"/>
        <v>-0.336</v>
      </c>
      <c r="Q9" s="11">
        <v>-2.37</v>
      </c>
      <c r="R9" s="11">
        <v>-1.18</v>
      </c>
      <c r="S9" s="23">
        <f t="shared" si="3"/>
        <v>-1.19</v>
      </c>
      <c r="T9" s="24">
        <f t="shared" si="4"/>
        <v>-0.3626943005</v>
      </c>
      <c r="U9" s="11">
        <v>0.09</v>
      </c>
    </row>
    <row r="10" ht="15.75" customHeight="1">
      <c r="A10" s="25">
        <v>45699.885613425926</v>
      </c>
      <c r="B10" s="22">
        <f t="shared" si="1"/>
        <v>45699.42728</v>
      </c>
      <c r="C10" s="11" t="s">
        <v>82</v>
      </c>
      <c r="D10" s="26" t="s">
        <v>298</v>
      </c>
      <c r="E10" s="27">
        <v>-14.2289</v>
      </c>
      <c r="F10" s="27">
        <v>-169.5031</v>
      </c>
      <c r="G10" s="11" t="s">
        <v>62</v>
      </c>
      <c r="H10" s="11" t="s">
        <v>63</v>
      </c>
      <c r="I10" s="12">
        <f>41.1131849380374</f>
        <v>41.11318494</v>
      </c>
      <c r="K10" s="11" t="s">
        <v>64</v>
      </c>
      <c r="L10" s="11" t="s">
        <v>64</v>
      </c>
      <c r="M10" s="11" t="s">
        <v>75</v>
      </c>
      <c r="N10" s="11">
        <v>1.307</v>
      </c>
      <c r="O10" s="11">
        <v>1.46</v>
      </c>
      <c r="P10" s="11">
        <f t="shared" si="2"/>
        <v>-0.153</v>
      </c>
      <c r="Q10" s="11">
        <v>-1.51</v>
      </c>
      <c r="R10" s="11">
        <v>-1.18</v>
      </c>
      <c r="S10" s="23">
        <f t="shared" si="3"/>
        <v>-0.33</v>
      </c>
      <c r="T10" s="24">
        <f t="shared" si="4"/>
        <v>-0.1005790917</v>
      </c>
      <c r="U10" s="11">
        <v>0.0</v>
      </c>
    </row>
    <row r="11" ht="15.75" customHeight="1">
      <c r="A11" s="25">
        <v>45703.8378125</v>
      </c>
      <c r="B11" s="22">
        <f t="shared" si="1"/>
        <v>45703.37948</v>
      </c>
      <c r="C11" s="11" t="s">
        <v>60</v>
      </c>
      <c r="D11" s="26" t="s">
        <v>299</v>
      </c>
      <c r="E11" s="27">
        <v>-14.2301</v>
      </c>
      <c r="F11" s="27">
        <v>-169.5022</v>
      </c>
      <c r="G11" s="11" t="s">
        <v>62</v>
      </c>
      <c r="H11" s="11" t="s">
        <v>63</v>
      </c>
      <c r="I11" s="12">
        <f>36.6885922700692</f>
        <v>36.68859227</v>
      </c>
      <c r="J11" s="12"/>
      <c r="K11" s="11" t="s">
        <v>64</v>
      </c>
      <c r="L11" s="11" t="s">
        <v>64</v>
      </c>
      <c r="M11" s="11" t="s">
        <v>75</v>
      </c>
      <c r="N11" s="11">
        <v>1.817</v>
      </c>
      <c r="O11" s="11">
        <v>1.48</v>
      </c>
      <c r="P11" s="11">
        <f t="shared" si="2"/>
        <v>0.337</v>
      </c>
      <c r="Q11" s="11">
        <v>0.03</v>
      </c>
      <c r="R11" s="11">
        <v>-1.18</v>
      </c>
      <c r="S11" s="23">
        <f t="shared" si="3"/>
        <v>1.21</v>
      </c>
      <c r="T11" s="24">
        <f t="shared" si="4"/>
        <v>0.368790003</v>
      </c>
      <c r="U11" s="11">
        <v>0.0</v>
      </c>
      <c r="V11" s="12"/>
      <c r="W11" s="12"/>
      <c r="X11" s="12"/>
      <c r="Y11" s="12"/>
      <c r="Z11" s="12"/>
      <c r="AA11" s="12"/>
    </row>
    <row r="12" ht="15.75" customHeight="1">
      <c r="A12" s="25">
        <v>45707.40125</v>
      </c>
      <c r="B12" s="22">
        <f t="shared" si="1"/>
        <v>45706.94292</v>
      </c>
      <c r="C12" s="11" t="s">
        <v>71</v>
      </c>
      <c r="D12" s="26" t="s">
        <v>300</v>
      </c>
      <c r="E12" s="27">
        <v>-14.2298</v>
      </c>
      <c r="F12" s="27">
        <v>-169.5014</v>
      </c>
      <c r="G12" s="11" t="s">
        <v>68</v>
      </c>
      <c r="H12" s="11" t="s">
        <v>69</v>
      </c>
      <c r="I12" s="12">
        <f>25.7979050846831</f>
        <v>25.79790508</v>
      </c>
      <c r="J12" s="12"/>
      <c r="K12" s="11" t="s">
        <v>64</v>
      </c>
      <c r="L12" s="11" t="s">
        <v>64</v>
      </c>
      <c r="M12" s="11" t="s">
        <v>75</v>
      </c>
      <c r="N12" s="11">
        <v>1.684</v>
      </c>
      <c r="O12" s="11">
        <v>1.48</v>
      </c>
      <c r="P12" s="11">
        <f t="shared" si="2"/>
        <v>0.204</v>
      </c>
      <c r="Q12" s="11">
        <v>-0.42</v>
      </c>
      <c r="R12" s="11">
        <v>-1.18</v>
      </c>
      <c r="S12" s="23">
        <f t="shared" si="3"/>
        <v>0.76</v>
      </c>
      <c r="T12" s="24">
        <f t="shared" si="4"/>
        <v>0.2316366961</v>
      </c>
      <c r="U12" s="11">
        <v>0.0</v>
      </c>
      <c r="V12" s="12"/>
      <c r="W12" s="12"/>
      <c r="X12" s="12"/>
      <c r="Y12" s="12"/>
      <c r="Z12" s="12"/>
      <c r="AA12" s="12"/>
    </row>
    <row r="13" ht="15.75" customHeight="1">
      <c r="A13" s="25">
        <v>45729.34641203703</v>
      </c>
      <c r="B13" s="22">
        <f t="shared" si="1"/>
        <v>45728.88808</v>
      </c>
      <c r="C13" s="11" t="s">
        <v>82</v>
      </c>
      <c r="D13" s="11" t="s">
        <v>301</v>
      </c>
      <c r="E13" s="12">
        <v>-14.2289</v>
      </c>
      <c r="F13" s="12">
        <v>-169.5024</v>
      </c>
      <c r="G13" s="11" t="s">
        <v>68</v>
      </c>
      <c r="H13" s="11" t="s">
        <v>69</v>
      </c>
      <c r="I13" s="12">
        <f>44.3880880333531</f>
        <v>44.38808803</v>
      </c>
      <c r="K13" s="11" t="s">
        <v>64</v>
      </c>
      <c r="L13" s="11" t="s">
        <v>64</v>
      </c>
      <c r="M13" s="11" t="s">
        <v>75</v>
      </c>
      <c r="N13" s="11">
        <v>1.131</v>
      </c>
      <c r="O13" s="11">
        <v>1.48</v>
      </c>
      <c r="P13" s="11">
        <f t="shared" si="2"/>
        <v>-0.349</v>
      </c>
      <c r="Q13" s="11">
        <v>-0.64</v>
      </c>
      <c r="R13" s="11">
        <v>-1.18</v>
      </c>
      <c r="S13" s="23">
        <f t="shared" si="3"/>
        <v>0.54</v>
      </c>
      <c r="T13" s="24">
        <f t="shared" si="4"/>
        <v>0.1645839683</v>
      </c>
      <c r="U13" s="11">
        <v>0.0</v>
      </c>
    </row>
    <row r="14" ht="15.75" customHeight="1">
      <c r="A14" s="25">
        <v>45738.41203703704</v>
      </c>
      <c r="B14" s="22">
        <f t="shared" si="1"/>
        <v>45737.9537</v>
      </c>
      <c r="C14" s="11" t="s">
        <v>71</v>
      </c>
      <c r="D14" s="12" t="s">
        <v>302</v>
      </c>
      <c r="E14" s="27">
        <v>-14.2291</v>
      </c>
      <c r="F14" s="27">
        <v>-169.5028</v>
      </c>
      <c r="G14" s="11" t="s">
        <v>68</v>
      </c>
      <c r="H14" s="11" t="s">
        <v>69</v>
      </c>
      <c r="I14" s="11">
        <v>26.9010063778318</v>
      </c>
      <c r="K14" s="11" t="s">
        <v>64</v>
      </c>
      <c r="L14" s="11" t="s">
        <v>64</v>
      </c>
      <c r="M14" s="11" t="s">
        <v>75</v>
      </c>
      <c r="P14" s="11"/>
      <c r="Q14" s="11">
        <v>-1.01</v>
      </c>
      <c r="R14" s="11">
        <v>-1.18</v>
      </c>
      <c r="S14" s="23">
        <f t="shared" si="3"/>
        <v>0.17</v>
      </c>
      <c r="T14" s="24">
        <f t="shared" si="4"/>
        <v>0.0518134715</v>
      </c>
      <c r="U14" s="11">
        <v>0.0</v>
      </c>
    </row>
    <row r="15" ht="15.75" customHeight="1">
      <c r="A15" s="25">
        <v>45744.40592592592</v>
      </c>
      <c r="B15" s="22">
        <f t="shared" si="1"/>
        <v>45743.94759</v>
      </c>
      <c r="C15" s="11" t="s">
        <v>303</v>
      </c>
      <c r="D15" s="26" t="s">
        <v>304</v>
      </c>
      <c r="E15" s="27">
        <v>-14.2291</v>
      </c>
      <c r="F15" s="27">
        <v>-169.5028</v>
      </c>
      <c r="G15" s="11" t="s">
        <v>68</v>
      </c>
      <c r="H15" s="11" t="s">
        <v>69</v>
      </c>
      <c r="I15" s="11">
        <v>45.7255345609535</v>
      </c>
      <c r="K15" s="11" t="s">
        <v>64</v>
      </c>
      <c r="L15" s="11" t="s">
        <v>64</v>
      </c>
      <c r="M15" s="11" t="s">
        <v>75</v>
      </c>
      <c r="N15" s="11">
        <v>1.085</v>
      </c>
      <c r="O15" s="11">
        <v>1.53</v>
      </c>
      <c r="P15" s="11">
        <f t="shared" ref="P15:P23" si="5">N15-O15</f>
        <v>-0.445</v>
      </c>
      <c r="Q15" s="11">
        <v>-2.43</v>
      </c>
      <c r="R15" s="11">
        <v>-1.18</v>
      </c>
      <c r="S15" s="23">
        <f t="shared" si="3"/>
        <v>-1.25</v>
      </c>
      <c r="T15" s="24">
        <f t="shared" si="4"/>
        <v>-0.3809814081</v>
      </c>
      <c r="U15" s="11">
        <v>0.0</v>
      </c>
    </row>
    <row r="16" ht="15.75" customHeight="1">
      <c r="A16" s="25">
        <v>45745.405023148145</v>
      </c>
      <c r="B16" s="22">
        <f t="shared" si="1"/>
        <v>45744.94669</v>
      </c>
      <c r="C16" s="11" t="s">
        <v>305</v>
      </c>
      <c r="D16" s="11" t="s">
        <v>306</v>
      </c>
      <c r="E16" s="27">
        <v>-14.2291</v>
      </c>
      <c r="F16" s="27">
        <v>-169.5028</v>
      </c>
      <c r="G16" s="11" t="s">
        <v>68</v>
      </c>
      <c r="H16" s="11" t="s">
        <v>69</v>
      </c>
      <c r="I16" s="11">
        <v>47.4443341073653</v>
      </c>
      <c r="K16" s="11" t="s">
        <v>64</v>
      </c>
      <c r="L16" s="11" t="s">
        <v>64</v>
      </c>
      <c r="M16" s="11" t="s">
        <v>75</v>
      </c>
      <c r="N16" s="11">
        <v>1.252</v>
      </c>
      <c r="O16" s="11">
        <v>1.53</v>
      </c>
      <c r="P16" s="11">
        <f t="shared" si="5"/>
        <v>-0.278</v>
      </c>
      <c r="Q16" s="11">
        <v>-2.1</v>
      </c>
      <c r="R16" s="11">
        <v>-1.18</v>
      </c>
      <c r="S16" s="23">
        <f t="shared" si="3"/>
        <v>-0.92</v>
      </c>
      <c r="T16" s="24">
        <f t="shared" si="4"/>
        <v>-0.2804023164</v>
      </c>
      <c r="U16" s="11">
        <v>0.0</v>
      </c>
    </row>
    <row r="17" ht="15.75" customHeight="1">
      <c r="A17" s="21">
        <v>45774.84082175926</v>
      </c>
      <c r="B17" s="22">
        <f t="shared" si="1"/>
        <v>45774.38249</v>
      </c>
      <c r="C17" s="11" t="s">
        <v>305</v>
      </c>
      <c r="D17" s="26" t="s">
        <v>307</v>
      </c>
      <c r="E17" s="27">
        <v>-14.2291</v>
      </c>
      <c r="F17" s="27">
        <v>-169.5028</v>
      </c>
      <c r="G17" s="11" t="s">
        <v>62</v>
      </c>
      <c r="H17" s="11" t="s">
        <v>63</v>
      </c>
      <c r="I17" s="11">
        <v>34.5558101462145</v>
      </c>
      <c r="J17" s="11" t="s">
        <v>308</v>
      </c>
      <c r="K17" s="11" t="s">
        <v>64</v>
      </c>
      <c r="L17" s="11" t="s">
        <v>64</v>
      </c>
      <c r="M17" s="11" t="s">
        <v>75</v>
      </c>
      <c r="N17" s="11">
        <v>1.768</v>
      </c>
      <c r="O17" s="11">
        <v>1.53</v>
      </c>
      <c r="P17" s="11">
        <f t="shared" si="5"/>
        <v>0.238</v>
      </c>
      <c r="Q17" s="11">
        <v>-0.02</v>
      </c>
      <c r="R17" s="11">
        <v>-1.18</v>
      </c>
      <c r="S17" s="23">
        <f t="shared" si="3"/>
        <v>1.16</v>
      </c>
      <c r="T17" s="24">
        <f t="shared" si="4"/>
        <v>0.3535507467</v>
      </c>
      <c r="U17" s="11">
        <v>0.0</v>
      </c>
      <c r="V17" s="12"/>
      <c r="W17" s="12"/>
      <c r="X17" s="12"/>
      <c r="Y17" s="12"/>
      <c r="Z17" s="12"/>
      <c r="AA17" s="12"/>
    </row>
    <row r="18" ht="15.75" customHeight="1">
      <c r="A18" s="21">
        <v>45782.91368055555</v>
      </c>
      <c r="B18" s="22">
        <f t="shared" si="1"/>
        <v>45782.45535</v>
      </c>
      <c r="C18" s="11" t="s">
        <v>71</v>
      </c>
      <c r="D18" s="26" t="s">
        <v>309</v>
      </c>
      <c r="E18" s="27">
        <v>-14.2291</v>
      </c>
      <c r="F18" s="27">
        <v>-169.5028</v>
      </c>
      <c r="G18" s="11" t="s">
        <v>62</v>
      </c>
      <c r="H18" s="11" t="s">
        <v>69</v>
      </c>
      <c r="I18" s="11">
        <v>20.0521061149474</v>
      </c>
      <c r="J18" s="11" t="s">
        <v>310</v>
      </c>
      <c r="K18" s="11" t="s">
        <v>64</v>
      </c>
      <c r="L18" s="11" t="s">
        <v>65</v>
      </c>
      <c r="N18" s="11">
        <v>1.423</v>
      </c>
      <c r="O18" s="11">
        <v>1.53</v>
      </c>
      <c r="P18" s="11">
        <f t="shared" si="5"/>
        <v>-0.107</v>
      </c>
      <c r="Q18" s="11">
        <v>-1.4</v>
      </c>
      <c r="R18" s="11">
        <v>-1.18</v>
      </c>
      <c r="S18" s="23">
        <f t="shared" si="3"/>
        <v>-0.22</v>
      </c>
      <c r="T18" s="24">
        <f t="shared" si="4"/>
        <v>-0.06705272783</v>
      </c>
      <c r="U18" s="11">
        <v>0.0</v>
      </c>
    </row>
    <row r="19" ht="15.75" customHeight="1">
      <c r="A19" s="21">
        <v>45802.350023148145</v>
      </c>
      <c r="B19" s="22">
        <f t="shared" si="1"/>
        <v>45801.89169</v>
      </c>
      <c r="C19" s="11" t="s">
        <v>99</v>
      </c>
      <c r="D19" s="26" t="s">
        <v>311</v>
      </c>
      <c r="E19" s="27">
        <v>-14.2291</v>
      </c>
      <c r="F19" s="27">
        <v>-169.5028</v>
      </c>
      <c r="G19" s="11" t="s">
        <v>68</v>
      </c>
      <c r="H19" s="11" t="s">
        <v>69</v>
      </c>
      <c r="I19" s="11">
        <v>44.4480833406358</v>
      </c>
      <c r="J19" s="11"/>
      <c r="K19" s="11" t="s">
        <v>65</v>
      </c>
      <c r="L19" s="11" t="s">
        <v>65</v>
      </c>
      <c r="M19" s="11" t="s">
        <v>75</v>
      </c>
      <c r="N19" s="11">
        <v>1.194</v>
      </c>
      <c r="O19" s="11">
        <v>1.46</v>
      </c>
      <c r="P19" s="11">
        <f t="shared" si="5"/>
        <v>-0.266</v>
      </c>
      <c r="Q19" s="11">
        <v>-2.04</v>
      </c>
      <c r="R19" s="11">
        <v>-1.18</v>
      </c>
      <c r="S19" s="23">
        <f t="shared" si="3"/>
        <v>-0.86</v>
      </c>
      <c r="T19" s="24">
        <f t="shared" si="4"/>
        <v>-0.2621152088</v>
      </c>
      <c r="U19" s="11">
        <v>0.08</v>
      </c>
    </row>
    <row r="20" ht="15.75" customHeight="1">
      <c r="A20" s="21">
        <v>45807.41743055556</v>
      </c>
      <c r="B20" s="22">
        <f t="shared" si="1"/>
        <v>45806.9591</v>
      </c>
      <c r="C20" s="11" t="s">
        <v>184</v>
      </c>
      <c r="D20" s="26" t="s">
        <v>312</v>
      </c>
      <c r="E20" s="27">
        <v>-14.2291</v>
      </c>
      <c r="F20" s="27">
        <v>-169.5028</v>
      </c>
      <c r="G20" s="11" t="s">
        <v>68</v>
      </c>
      <c r="H20" s="11" t="s">
        <v>69</v>
      </c>
      <c r="I20" s="11">
        <v>17.3048961171651</v>
      </c>
      <c r="J20" s="11"/>
      <c r="K20" s="11" t="s">
        <v>65</v>
      </c>
      <c r="L20" s="11" t="s">
        <v>65</v>
      </c>
      <c r="M20" s="11"/>
      <c r="N20" s="11">
        <v>1.72</v>
      </c>
      <c r="O20" s="11">
        <v>1.46</v>
      </c>
      <c r="P20" s="11">
        <f t="shared" si="5"/>
        <v>0.26</v>
      </c>
      <c r="Q20" s="11">
        <v>-0.26</v>
      </c>
      <c r="R20" s="11">
        <v>-1.18</v>
      </c>
      <c r="S20" s="23">
        <f t="shared" si="3"/>
        <v>0.92</v>
      </c>
      <c r="T20" s="24">
        <f t="shared" si="4"/>
        <v>0.2804023164</v>
      </c>
      <c r="U20" s="11">
        <v>0.0</v>
      </c>
      <c r="V20" s="12"/>
      <c r="W20" s="12"/>
      <c r="X20" s="12"/>
      <c r="Y20" s="12"/>
      <c r="Z20" s="12"/>
      <c r="AA20" s="12"/>
    </row>
    <row r="21" ht="15.75" customHeight="1">
      <c r="A21" s="21">
        <v>45807.417546296296</v>
      </c>
      <c r="B21" s="22">
        <f t="shared" si="1"/>
        <v>45806.95921</v>
      </c>
      <c r="C21" s="11" t="s">
        <v>184</v>
      </c>
      <c r="D21" s="26" t="s">
        <v>313</v>
      </c>
      <c r="E21" s="27">
        <v>-14.2291</v>
      </c>
      <c r="F21" s="27">
        <v>-169.5028</v>
      </c>
      <c r="G21" s="11" t="s">
        <v>68</v>
      </c>
      <c r="H21" s="11" t="s">
        <v>69</v>
      </c>
      <c r="I21" s="11">
        <v>17.1867043848756</v>
      </c>
      <c r="J21" s="11"/>
      <c r="K21" s="11" t="s">
        <v>65</v>
      </c>
      <c r="L21" s="11" t="s">
        <v>65</v>
      </c>
      <c r="M21" s="12"/>
      <c r="N21" s="11">
        <v>1.72</v>
      </c>
      <c r="O21" s="11">
        <v>1.46</v>
      </c>
      <c r="P21" s="11">
        <f t="shared" si="5"/>
        <v>0.26</v>
      </c>
      <c r="Q21" s="11">
        <v>-0.26</v>
      </c>
      <c r="R21" s="11">
        <v>-1.18</v>
      </c>
      <c r="S21" s="23">
        <f t="shared" si="3"/>
        <v>0.92</v>
      </c>
      <c r="T21" s="24">
        <f t="shared" si="4"/>
        <v>0.2804023164</v>
      </c>
      <c r="U21" s="11">
        <v>0.0</v>
      </c>
      <c r="V21" s="12"/>
      <c r="W21" s="12"/>
      <c r="X21" s="12"/>
      <c r="Y21" s="12"/>
      <c r="Z21" s="12"/>
      <c r="AA21" s="12"/>
    </row>
    <row r="22" ht="15.75" customHeight="1">
      <c r="A22" s="37">
        <v>45814.90274305556</v>
      </c>
      <c r="B22" s="22">
        <f t="shared" si="1"/>
        <v>45814.44441</v>
      </c>
      <c r="C22" s="11" t="s">
        <v>314</v>
      </c>
      <c r="D22" s="26" t="s">
        <v>315</v>
      </c>
      <c r="E22" s="27">
        <v>-14.2291</v>
      </c>
      <c r="F22" s="27">
        <v>-169.5028</v>
      </c>
      <c r="G22" s="11" t="s">
        <v>62</v>
      </c>
      <c r="H22" s="11" t="s">
        <v>63</v>
      </c>
      <c r="I22" s="11">
        <v>31.312575094613</v>
      </c>
      <c r="J22" s="11"/>
      <c r="K22" s="11" t="s">
        <v>65</v>
      </c>
      <c r="L22" s="11" t="s">
        <v>65</v>
      </c>
      <c r="M22" s="11" t="s">
        <v>75</v>
      </c>
      <c r="N22" s="11">
        <v>1.201</v>
      </c>
      <c r="O22" s="11">
        <v>1.46</v>
      </c>
      <c r="P22" s="11">
        <f t="shared" si="5"/>
        <v>-0.259</v>
      </c>
      <c r="Q22" s="11">
        <v>-2.08</v>
      </c>
      <c r="R22" s="11">
        <v>-1.18</v>
      </c>
      <c r="S22" s="23">
        <f t="shared" si="3"/>
        <v>-0.9</v>
      </c>
      <c r="T22" s="24">
        <f t="shared" si="4"/>
        <v>-0.2743066138</v>
      </c>
      <c r="U22" s="11">
        <v>0.0</v>
      </c>
    </row>
    <row r="23" ht="15.75" customHeight="1">
      <c r="A23" s="37">
        <v>45814.90284722222</v>
      </c>
      <c r="B23" s="22">
        <f t="shared" si="1"/>
        <v>45814.44451</v>
      </c>
      <c r="C23" s="11" t="s">
        <v>314</v>
      </c>
      <c r="D23" s="26" t="s">
        <v>316</v>
      </c>
      <c r="E23" s="27">
        <v>-14.2291</v>
      </c>
      <c r="F23" s="27">
        <v>-169.5028</v>
      </c>
      <c r="G23" s="11" t="s">
        <v>62</v>
      </c>
      <c r="H23" s="11" t="s">
        <v>63</v>
      </c>
      <c r="I23" s="11">
        <v>31.0212776615337</v>
      </c>
      <c r="J23" s="11"/>
      <c r="K23" s="11" t="s">
        <v>65</v>
      </c>
      <c r="L23" s="11" t="s">
        <v>65</v>
      </c>
      <c r="M23" s="11" t="s">
        <v>75</v>
      </c>
      <c r="N23" s="11">
        <v>1.204</v>
      </c>
      <c r="O23" s="11">
        <v>1.46</v>
      </c>
      <c r="P23" s="11">
        <f t="shared" si="5"/>
        <v>-0.256</v>
      </c>
      <c r="Q23" s="11">
        <v>-2.08</v>
      </c>
      <c r="R23" s="11">
        <v>-1.18</v>
      </c>
      <c r="S23" s="23">
        <f t="shared" si="3"/>
        <v>-0.9</v>
      </c>
      <c r="T23" s="24">
        <f t="shared" si="4"/>
        <v>-0.2743066138</v>
      </c>
      <c r="U23" s="11">
        <v>0.0</v>
      </c>
    </row>
    <row r="24" ht="15.75" customHeight="1">
      <c r="R24" s="11"/>
      <c r="S24" s="23"/>
      <c r="T24" s="24"/>
    </row>
    <row r="25" ht="15.75" customHeight="1">
      <c r="R25" s="11"/>
      <c r="S25" s="23"/>
      <c r="T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A2:X100">
    <cfRule type="expression" dxfId="0" priority="1">
      <formula>$Q2&gt;0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7.22"/>
    <col customWidth="1" min="3" max="3" width="10.56"/>
    <col customWidth="1" min="4" max="4" width="34.22"/>
    <col customWidth="1" min="5" max="20" width="10.56"/>
  </cols>
  <sheetData>
    <row r="1" ht="15.75" customHeight="1">
      <c r="A1" s="4" t="s">
        <v>108</v>
      </c>
      <c r="B1" s="4" t="s">
        <v>44</v>
      </c>
      <c r="C1" s="4" t="s">
        <v>9</v>
      </c>
      <c r="D1" s="17" t="s">
        <v>45</v>
      </c>
      <c r="E1" s="17" t="s">
        <v>46</v>
      </c>
      <c r="F1" s="17" t="s">
        <v>47</v>
      </c>
      <c r="G1" s="18" t="s">
        <v>48</v>
      </c>
      <c r="H1" s="18" t="s">
        <v>49</v>
      </c>
      <c r="I1" s="18" t="s">
        <v>50</v>
      </c>
      <c r="J1" s="16" t="s">
        <v>51</v>
      </c>
      <c r="K1" s="16" t="s">
        <v>52</v>
      </c>
    </row>
    <row r="2" ht="15.75" customHeight="1">
      <c r="A2" s="25">
        <v>45587.91587962963</v>
      </c>
      <c r="B2" s="22">
        <f t="shared" ref="B2:B5" si="1">A2-time(11,0,0)</f>
        <v>45587.45755</v>
      </c>
      <c r="C2" s="11" t="s">
        <v>317</v>
      </c>
      <c r="D2" s="12" t="s">
        <v>318</v>
      </c>
      <c r="E2" s="12">
        <v>-14.0086</v>
      </c>
      <c r="F2" s="12">
        <v>-171.8341</v>
      </c>
      <c r="G2" s="12" t="s">
        <v>62</v>
      </c>
      <c r="H2" s="12" t="s">
        <v>69</v>
      </c>
      <c r="I2" s="12">
        <f>22.766675427351</f>
        <v>22.76667543</v>
      </c>
      <c r="J2" s="11" t="s">
        <v>64</v>
      </c>
      <c r="K2" s="11" t="s">
        <v>65</v>
      </c>
    </row>
    <row r="3" ht="15.75" customHeight="1">
      <c r="A3" s="25">
        <v>45587.9158912037</v>
      </c>
      <c r="B3" s="22">
        <f t="shared" si="1"/>
        <v>45587.45756</v>
      </c>
      <c r="C3" s="11" t="s">
        <v>317</v>
      </c>
      <c r="D3" s="12" t="s">
        <v>319</v>
      </c>
      <c r="E3" s="12">
        <v>-14.0071</v>
      </c>
      <c r="F3" s="12">
        <v>-171.9</v>
      </c>
      <c r="G3" s="12" t="s">
        <v>62</v>
      </c>
      <c r="H3" s="12" t="s">
        <v>69</v>
      </c>
      <c r="I3" s="12">
        <f>16.66949545525</f>
        <v>16.66949546</v>
      </c>
      <c r="J3" s="11" t="s">
        <v>64</v>
      </c>
      <c r="K3" s="11" t="s">
        <v>65</v>
      </c>
    </row>
    <row r="4" ht="15.75" customHeight="1">
      <c r="A4" s="25">
        <v>45588.42875</v>
      </c>
      <c r="B4" s="22">
        <f t="shared" si="1"/>
        <v>45587.97042</v>
      </c>
      <c r="C4" s="11" t="s">
        <v>317</v>
      </c>
      <c r="D4" s="12" t="s">
        <v>320</v>
      </c>
      <c r="E4" s="12">
        <v>-14.0071</v>
      </c>
      <c r="F4" s="12">
        <v>-171.8327</v>
      </c>
      <c r="G4" s="12" t="s">
        <v>68</v>
      </c>
      <c r="H4" s="12" t="s">
        <v>63</v>
      </c>
      <c r="I4" s="12">
        <f>33.3051118971845</f>
        <v>33.3051119</v>
      </c>
      <c r="J4" s="11" t="s">
        <v>64</v>
      </c>
      <c r="K4" s="11" t="s">
        <v>65</v>
      </c>
    </row>
    <row r="5" ht="15.75" customHeight="1">
      <c r="A5" s="25">
        <v>45588.428761574076</v>
      </c>
      <c r="B5" s="22">
        <f t="shared" si="1"/>
        <v>45587.97043</v>
      </c>
      <c r="C5" s="11" t="s">
        <v>317</v>
      </c>
      <c r="D5" s="12" t="s">
        <v>321</v>
      </c>
      <c r="E5" s="12">
        <v>-14.0071</v>
      </c>
      <c r="F5" s="12">
        <v>-171.9</v>
      </c>
      <c r="G5" s="12" t="s">
        <v>68</v>
      </c>
      <c r="H5" s="12" t="s">
        <v>63</v>
      </c>
      <c r="I5" s="12">
        <f>26.4129803847583</f>
        <v>26.41298038</v>
      </c>
      <c r="J5" s="11" t="s">
        <v>64</v>
      </c>
      <c r="K5" s="11" t="s">
        <v>64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J24" s="11"/>
      <c r="K24" s="12"/>
    </row>
    <row r="25" ht="15.75" customHeight="1">
      <c r="J25" s="11"/>
      <c r="K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3" width="10.56"/>
    <col customWidth="1" min="4" max="4" width="34.33"/>
    <col customWidth="1" min="5" max="20" width="10.56"/>
  </cols>
  <sheetData>
    <row r="1" ht="15.75" customHeight="1">
      <c r="A1" s="17" t="s">
        <v>45</v>
      </c>
      <c r="B1" s="17" t="s">
        <v>322</v>
      </c>
      <c r="C1" s="17" t="s">
        <v>323</v>
      </c>
      <c r="D1" s="17" t="s">
        <v>324</v>
      </c>
      <c r="E1" s="17" t="s">
        <v>46</v>
      </c>
      <c r="F1" s="17" t="s">
        <v>47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15.75" customHeight="1">
      <c r="A2" s="12" t="s">
        <v>163</v>
      </c>
      <c r="B2" s="12" t="s">
        <v>325</v>
      </c>
      <c r="C2" s="12" t="s">
        <v>326</v>
      </c>
      <c r="D2" s="12" t="s">
        <v>327</v>
      </c>
      <c r="E2" s="12">
        <v>-14.2817</v>
      </c>
      <c r="F2" s="12">
        <v>-170.5608</v>
      </c>
      <c r="H2" s="12">
        <f>counta(A2:A994)</f>
        <v>190</v>
      </c>
    </row>
    <row r="3" ht="15.75" customHeight="1">
      <c r="A3" s="12" t="s">
        <v>120</v>
      </c>
      <c r="B3" s="12" t="s">
        <v>328</v>
      </c>
      <c r="C3" s="12" t="s">
        <v>329</v>
      </c>
      <c r="D3" s="12" t="s">
        <v>327</v>
      </c>
      <c r="E3" s="12">
        <v>-14.2762</v>
      </c>
      <c r="F3" s="12">
        <v>-170.6808</v>
      </c>
    </row>
    <row r="4" ht="15.75" customHeight="1">
      <c r="A4" s="12" t="s">
        <v>228</v>
      </c>
      <c r="B4" s="12" t="s">
        <v>330</v>
      </c>
      <c r="C4" s="12" t="s">
        <v>331</v>
      </c>
      <c r="D4" s="12" t="s">
        <v>332</v>
      </c>
      <c r="E4" s="12">
        <v>-14.1689</v>
      </c>
      <c r="F4" s="12">
        <v>-169.6685</v>
      </c>
    </row>
    <row r="5" ht="15.75" customHeight="1">
      <c r="A5" s="12" t="s">
        <v>61</v>
      </c>
      <c r="B5" s="12" t="s">
        <v>333</v>
      </c>
      <c r="C5" s="12" t="s">
        <v>334</v>
      </c>
      <c r="D5" s="12" t="s">
        <v>335</v>
      </c>
      <c r="E5" s="12">
        <v>-14.3228</v>
      </c>
      <c r="F5" s="12">
        <v>-170.7145</v>
      </c>
    </row>
    <row r="6" ht="15.75" customHeight="1">
      <c r="A6" s="12" t="s">
        <v>319</v>
      </c>
      <c r="B6" s="12" t="s">
        <v>336</v>
      </c>
      <c r="C6" s="12" t="s">
        <v>337</v>
      </c>
      <c r="D6" s="12" t="s">
        <v>338</v>
      </c>
      <c r="E6" s="12">
        <v>-14.0071</v>
      </c>
      <c r="F6" s="12">
        <v>-171.9</v>
      </c>
    </row>
    <row r="7" ht="15.75" customHeight="1">
      <c r="A7" s="12" t="s">
        <v>318</v>
      </c>
      <c r="B7" s="12" t="s">
        <v>339</v>
      </c>
      <c r="C7" s="12" t="s">
        <v>340</v>
      </c>
      <c r="D7" s="12" t="s">
        <v>338</v>
      </c>
      <c r="E7" s="12">
        <v>-14.0086</v>
      </c>
      <c r="F7" s="12">
        <v>-171.8341</v>
      </c>
    </row>
    <row r="8" ht="15.75" customHeight="1">
      <c r="A8" s="12" t="s">
        <v>321</v>
      </c>
      <c r="B8" s="12" t="s">
        <v>341</v>
      </c>
      <c r="C8" s="12" t="s">
        <v>342</v>
      </c>
      <c r="D8" s="12" t="s">
        <v>338</v>
      </c>
      <c r="E8" s="12">
        <v>-14.0071</v>
      </c>
      <c r="F8" s="12">
        <v>-171.9</v>
      </c>
    </row>
    <row r="9" ht="15.75" customHeight="1">
      <c r="A9" s="12" t="s">
        <v>320</v>
      </c>
      <c r="B9" s="12" t="s">
        <v>343</v>
      </c>
      <c r="C9" s="12" t="s">
        <v>344</v>
      </c>
      <c r="D9" s="12" t="s">
        <v>338</v>
      </c>
      <c r="E9" s="12">
        <v>-14.0071</v>
      </c>
      <c r="F9" s="12">
        <v>-171.8327</v>
      </c>
    </row>
    <row r="10" ht="15.75" customHeight="1">
      <c r="A10" s="12" t="s">
        <v>230</v>
      </c>
      <c r="B10" s="12" t="s">
        <v>345</v>
      </c>
      <c r="C10" s="12" t="s">
        <v>346</v>
      </c>
      <c r="D10" s="12" t="s">
        <v>347</v>
      </c>
      <c r="E10" s="12">
        <v>-14.1736</v>
      </c>
      <c r="F10" s="12">
        <v>-169.6697</v>
      </c>
    </row>
    <row r="11" ht="15.75" customHeight="1">
      <c r="A11" s="12" t="s">
        <v>288</v>
      </c>
      <c r="B11" s="12" t="s">
        <v>348</v>
      </c>
      <c r="C11" s="12" t="s">
        <v>349</v>
      </c>
      <c r="D11" s="12" t="s">
        <v>350</v>
      </c>
      <c r="E11" s="12">
        <v>-14.2212</v>
      </c>
      <c r="F11" s="12">
        <v>-169.5121</v>
      </c>
    </row>
    <row r="12" ht="15.75" customHeight="1">
      <c r="A12" s="12" t="s">
        <v>194</v>
      </c>
      <c r="B12" s="12" t="s">
        <v>351</v>
      </c>
      <c r="C12" s="12" t="s">
        <v>352</v>
      </c>
      <c r="D12" s="12" t="s">
        <v>335</v>
      </c>
      <c r="E12" s="12">
        <v>-14.3465</v>
      </c>
      <c r="F12" s="12">
        <v>-170.7745</v>
      </c>
    </row>
    <row r="13" ht="15.75" customHeight="1">
      <c r="A13" s="12" t="s">
        <v>195</v>
      </c>
      <c r="B13" s="12" t="s">
        <v>353</v>
      </c>
      <c r="C13" s="12" t="s">
        <v>354</v>
      </c>
      <c r="D13" s="12" t="s">
        <v>355</v>
      </c>
      <c r="E13" s="12">
        <v>-14.3438</v>
      </c>
      <c r="F13" s="12">
        <v>-170.772</v>
      </c>
    </row>
    <row r="14" ht="15.75" customHeight="1">
      <c r="A14" s="12" t="s">
        <v>231</v>
      </c>
      <c r="B14" s="12" t="s">
        <v>356</v>
      </c>
      <c r="C14" s="12" t="s">
        <v>357</v>
      </c>
      <c r="D14" s="12" t="s">
        <v>332</v>
      </c>
      <c r="E14" s="12">
        <v>-14.1723</v>
      </c>
      <c r="F14" s="12">
        <v>-169.6762</v>
      </c>
    </row>
    <row r="15" ht="15.75" customHeight="1">
      <c r="A15" s="12" t="s">
        <v>67</v>
      </c>
      <c r="B15" s="12" t="s">
        <v>358</v>
      </c>
      <c r="C15" s="12" t="s">
        <v>359</v>
      </c>
      <c r="D15" s="12" t="s">
        <v>360</v>
      </c>
      <c r="E15" s="12">
        <v>-14.3215</v>
      </c>
      <c r="F15" s="12">
        <v>-170.715</v>
      </c>
    </row>
    <row r="16" ht="15.75" customHeight="1">
      <c r="A16" s="12" t="s">
        <v>164</v>
      </c>
      <c r="B16" s="12" t="s">
        <v>361</v>
      </c>
      <c r="C16" s="12" t="s">
        <v>362</v>
      </c>
      <c r="D16" s="12" t="s">
        <v>363</v>
      </c>
      <c r="E16" s="12">
        <v>-14.2765</v>
      </c>
      <c r="F16" s="12">
        <v>-170.5676</v>
      </c>
    </row>
    <row r="17" ht="15.75" customHeight="1">
      <c r="A17" s="12" t="s">
        <v>122</v>
      </c>
      <c r="B17" s="12" t="s">
        <v>364</v>
      </c>
      <c r="C17" s="12" t="s">
        <v>365</v>
      </c>
      <c r="D17" s="12" t="s">
        <v>327</v>
      </c>
      <c r="E17" s="12">
        <v>-14.2761</v>
      </c>
      <c r="F17" s="12">
        <v>-170.6818</v>
      </c>
    </row>
    <row r="18" ht="15.75" customHeight="1">
      <c r="A18" s="12" t="s">
        <v>289</v>
      </c>
      <c r="B18" s="12" t="s">
        <v>366</v>
      </c>
      <c r="C18" s="12" t="s">
        <v>367</v>
      </c>
      <c r="D18" s="12" t="s">
        <v>350</v>
      </c>
      <c r="E18" s="12">
        <v>-14.2247</v>
      </c>
      <c r="F18" s="12">
        <v>-169.5129</v>
      </c>
    </row>
    <row r="19" ht="15.75" customHeight="1">
      <c r="A19" s="12" t="s">
        <v>291</v>
      </c>
      <c r="B19" s="12" t="s">
        <v>368</v>
      </c>
      <c r="C19" s="12" t="s">
        <v>369</v>
      </c>
      <c r="D19" s="12" t="s">
        <v>370</v>
      </c>
      <c r="E19" s="12">
        <v>-14.227</v>
      </c>
      <c r="F19" s="12">
        <v>-169.5008</v>
      </c>
    </row>
    <row r="20" ht="15.75" customHeight="1">
      <c r="A20" s="12" t="s">
        <v>165</v>
      </c>
      <c r="B20" s="12" t="s">
        <v>371</v>
      </c>
      <c r="C20" s="12" t="s">
        <v>372</v>
      </c>
      <c r="D20" s="12" t="s">
        <v>373</v>
      </c>
      <c r="E20" s="12">
        <v>-14.2761</v>
      </c>
      <c r="F20" s="12">
        <v>-170.5631</v>
      </c>
    </row>
    <row r="21" ht="15.75" customHeight="1">
      <c r="A21" s="12" t="s">
        <v>123</v>
      </c>
      <c r="B21" s="12" t="s">
        <v>374</v>
      </c>
      <c r="C21" s="12" t="s">
        <v>375</v>
      </c>
      <c r="D21" s="12" t="s">
        <v>376</v>
      </c>
      <c r="E21" s="12">
        <v>-14.2769</v>
      </c>
      <c r="F21" s="12">
        <v>-170.6791</v>
      </c>
    </row>
    <row r="22" ht="15.75" customHeight="1">
      <c r="A22" s="12" t="s">
        <v>196</v>
      </c>
      <c r="B22" s="12" t="s">
        <v>377</v>
      </c>
      <c r="C22" s="12" t="s">
        <v>378</v>
      </c>
      <c r="D22" s="12" t="s">
        <v>379</v>
      </c>
      <c r="E22" s="12">
        <v>-14.3453</v>
      </c>
      <c r="F22" s="12">
        <v>-170.7723</v>
      </c>
    </row>
    <row r="23" ht="15.75" customHeight="1">
      <c r="A23" s="12" t="s">
        <v>72</v>
      </c>
      <c r="B23" s="12" t="s">
        <v>380</v>
      </c>
      <c r="C23" s="12" t="s">
        <v>381</v>
      </c>
      <c r="D23" s="12" t="s">
        <v>382</v>
      </c>
      <c r="E23" s="12">
        <v>-14.3187</v>
      </c>
      <c r="F23" s="12">
        <v>-170.7145</v>
      </c>
    </row>
    <row r="24" ht="15.75" customHeight="1">
      <c r="A24" s="12" t="s">
        <v>233</v>
      </c>
      <c r="B24" s="12" t="s">
        <v>383</v>
      </c>
      <c r="C24" s="12" t="s">
        <v>384</v>
      </c>
      <c r="D24" s="12" t="s">
        <v>385</v>
      </c>
      <c r="E24" s="12">
        <v>-14.1741</v>
      </c>
      <c r="F24" s="12">
        <v>-169.6711</v>
      </c>
    </row>
    <row r="25" ht="15.75" customHeight="1">
      <c r="A25" s="12" t="s">
        <v>124</v>
      </c>
      <c r="B25" s="12" t="s">
        <v>386</v>
      </c>
      <c r="C25" s="12" t="s">
        <v>387</v>
      </c>
      <c r="D25" s="12" t="s">
        <v>376</v>
      </c>
      <c r="E25" s="12">
        <v>-14.2761</v>
      </c>
      <c r="F25" s="12">
        <v>-170.68</v>
      </c>
    </row>
    <row r="26" ht="15.75" customHeight="1">
      <c r="A26" s="12" t="s">
        <v>74</v>
      </c>
      <c r="B26" s="12" t="s">
        <v>388</v>
      </c>
      <c r="C26" s="12" t="s">
        <v>389</v>
      </c>
      <c r="D26" s="12" t="s">
        <v>382</v>
      </c>
      <c r="E26" s="12">
        <v>-14.3205</v>
      </c>
      <c r="F26" s="12">
        <v>-170.7159</v>
      </c>
    </row>
    <row r="27" ht="15.75" customHeight="1">
      <c r="A27" s="12" t="s">
        <v>76</v>
      </c>
      <c r="B27" s="12" t="s">
        <v>390</v>
      </c>
      <c r="C27" s="12" t="s">
        <v>391</v>
      </c>
      <c r="D27" s="12" t="s">
        <v>382</v>
      </c>
      <c r="E27" s="12">
        <v>-14.3226</v>
      </c>
      <c r="F27" s="11">
        <v>-170.7139</v>
      </c>
    </row>
    <row r="28" ht="15.75" customHeight="1">
      <c r="A28" s="12" t="s">
        <v>197</v>
      </c>
      <c r="B28" s="12" t="s">
        <v>392</v>
      </c>
      <c r="C28" s="12" t="s">
        <v>393</v>
      </c>
      <c r="D28" s="12" t="s">
        <v>379</v>
      </c>
      <c r="E28" s="12">
        <v>-14.3453</v>
      </c>
      <c r="F28" s="12">
        <v>-170.7723</v>
      </c>
    </row>
    <row r="29" ht="15.75" customHeight="1">
      <c r="A29" s="12" t="s">
        <v>166</v>
      </c>
      <c r="B29" s="12" t="s">
        <v>394</v>
      </c>
      <c r="C29" s="12" t="s">
        <v>395</v>
      </c>
      <c r="D29" s="12" t="s">
        <v>396</v>
      </c>
      <c r="E29" s="12">
        <v>-14.276</v>
      </c>
      <c r="F29" s="12">
        <v>-170.5646</v>
      </c>
    </row>
    <row r="30" ht="15.75" customHeight="1">
      <c r="A30" s="12" t="s">
        <v>167</v>
      </c>
      <c r="B30" s="12" t="s">
        <v>397</v>
      </c>
      <c r="C30" s="12" t="s">
        <v>398</v>
      </c>
      <c r="D30" s="12" t="s">
        <v>396</v>
      </c>
      <c r="E30" s="12">
        <v>-14.2754</v>
      </c>
      <c r="F30" s="12">
        <v>-170.5653</v>
      </c>
    </row>
    <row r="31" ht="15.75" customHeight="1">
      <c r="A31" s="12" t="s">
        <v>234</v>
      </c>
      <c r="B31" s="12" t="s">
        <v>399</v>
      </c>
      <c r="C31" s="12" t="s">
        <v>400</v>
      </c>
      <c r="D31" s="12" t="s">
        <v>385</v>
      </c>
      <c r="E31" s="12">
        <v>-14.1715</v>
      </c>
      <c r="F31" s="12">
        <v>-169.6727</v>
      </c>
    </row>
    <row r="32" ht="15.75" customHeight="1">
      <c r="A32" s="12" t="s">
        <v>292</v>
      </c>
      <c r="B32" s="12" t="s">
        <v>401</v>
      </c>
      <c r="C32" s="12" t="s">
        <v>402</v>
      </c>
      <c r="D32" s="12" t="s">
        <v>403</v>
      </c>
      <c r="E32" s="12">
        <v>-14.2287</v>
      </c>
      <c r="F32" s="12">
        <v>-169.5032</v>
      </c>
    </row>
    <row r="33" ht="15.75" customHeight="1">
      <c r="A33" s="12" t="s">
        <v>293</v>
      </c>
      <c r="B33" s="12" t="s">
        <v>404</v>
      </c>
      <c r="C33" s="12" t="s">
        <v>405</v>
      </c>
      <c r="D33" s="12" t="s">
        <v>370</v>
      </c>
      <c r="E33" s="12">
        <v>-14.2252</v>
      </c>
      <c r="F33" s="12">
        <v>-169.5108</v>
      </c>
    </row>
    <row r="34" ht="15.75" customHeight="1">
      <c r="A34" s="12" t="s">
        <v>125</v>
      </c>
      <c r="B34" s="12" t="s">
        <v>406</v>
      </c>
      <c r="C34" s="12" t="s">
        <v>407</v>
      </c>
      <c r="D34" s="12" t="s">
        <v>376</v>
      </c>
      <c r="E34" s="12">
        <v>-14.2764</v>
      </c>
      <c r="F34" s="12">
        <v>-170.68</v>
      </c>
    </row>
    <row r="35" ht="15.75" customHeight="1">
      <c r="A35" s="12" t="s">
        <v>198</v>
      </c>
      <c r="B35" s="12" t="s">
        <v>408</v>
      </c>
      <c r="C35" s="12" t="s">
        <v>409</v>
      </c>
      <c r="D35" s="12" t="s">
        <v>379</v>
      </c>
      <c r="E35" s="12">
        <v>-14.3471</v>
      </c>
      <c r="F35" s="12">
        <v>-170.7705</v>
      </c>
    </row>
    <row r="36" ht="15.75" customHeight="1">
      <c r="A36" s="12" t="s">
        <v>235</v>
      </c>
      <c r="B36" s="12" t="s">
        <v>410</v>
      </c>
      <c r="C36" s="12" t="s">
        <v>411</v>
      </c>
      <c r="D36" s="12" t="s">
        <v>385</v>
      </c>
      <c r="E36" s="12">
        <v>-14.1715</v>
      </c>
      <c r="F36" s="12">
        <v>-169.6727</v>
      </c>
    </row>
    <row r="37" ht="15.75" customHeight="1">
      <c r="A37" s="12" t="s">
        <v>266</v>
      </c>
      <c r="B37" s="12" t="s">
        <v>412</v>
      </c>
      <c r="C37" s="12" t="s">
        <v>413</v>
      </c>
      <c r="D37" s="12" t="s">
        <v>414</v>
      </c>
      <c r="E37" s="12">
        <v>-14.1754</v>
      </c>
      <c r="F37" s="12">
        <v>-169.6208</v>
      </c>
    </row>
    <row r="38" ht="15.75" customHeight="1">
      <c r="A38" s="12" t="s">
        <v>295</v>
      </c>
      <c r="B38" s="12" t="s">
        <v>415</v>
      </c>
      <c r="C38" s="12" t="s">
        <v>416</v>
      </c>
      <c r="D38" s="12" t="s">
        <v>403</v>
      </c>
      <c r="E38" s="12">
        <v>-14.2275</v>
      </c>
      <c r="F38" s="12">
        <v>-169.505</v>
      </c>
    </row>
    <row r="39" ht="15.75" customHeight="1">
      <c r="A39" s="12" t="s">
        <v>200</v>
      </c>
      <c r="B39" s="12" t="s">
        <v>417</v>
      </c>
      <c r="C39" s="12" t="s">
        <v>418</v>
      </c>
      <c r="D39" s="12" t="s">
        <v>379</v>
      </c>
      <c r="E39" s="12">
        <v>-14.3443</v>
      </c>
      <c r="F39" s="12">
        <v>-170.7753</v>
      </c>
    </row>
    <row r="40" ht="15.75" customHeight="1">
      <c r="A40" s="12" t="s">
        <v>78</v>
      </c>
      <c r="B40" s="12" t="s">
        <v>419</v>
      </c>
      <c r="C40" s="12" t="s">
        <v>420</v>
      </c>
      <c r="D40" s="12" t="s">
        <v>382</v>
      </c>
      <c r="E40" s="12">
        <v>-14.3225</v>
      </c>
      <c r="F40" s="12">
        <v>-170.7119</v>
      </c>
    </row>
    <row r="41" ht="15.75" customHeight="1">
      <c r="A41" s="12" t="s">
        <v>126</v>
      </c>
      <c r="B41" s="12" t="s">
        <v>421</v>
      </c>
      <c r="C41" s="12" t="s">
        <v>422</v>
      </c>
      <c r="D41" s="12" t="s">
        <v>376</v>
      </c>
      <c r="E41" s="12">
        <v>-14.278</v>
      </c>
      <c r="F41" s="12">
        <v>-170.6791</v>
      </c>
    </row>
    <row r="42" ht="15.75" customHeight="1">
      <c r="A42" s="12" t="s">
        <v>267</v>
      </c>
      <c r="B42" s="12" t="s">
        <v>423</v>
      </c>
      <c r="C42" s="12" t="s">
        <v>424</v>
      </c>
      <c r="D42" s="12" t="s">
        <v>425</v>
      </c>
      <c r="E42" s="12">
        <v>-14.1759</v>
      </c>
      <c r="F42" s="12">
        <v>-169.6215</v>
      </c>
    </row>
    <row r="43" ht="15.75" customHeight="1">
      <c r="A43" s="12" t="s">
        <v>237</v>
      </c>
      <c r="B43" s="12" t="s">
        <v>426</v>
      </c>
      <c r="C43" s="12" t="s">
        <v>427</v>
      </c>
      <c r="D43" s="12" t="s">
        <v>385</v>
      </c>
      <c r="E43" s="12">
        <v>-14.1733</v>
      </c>
      <c r="F43" s="12">
        <v>-169.6742</v>
      </c>
    </row>
    <row r="44" ht="15.75" customHeight="1">
      <c r="A44" s="12" t="s">
        <v>238</v>
      </c>
      <c r="B44" s="12" t="s">
        <v>428</v>
      </c>
      <c r="C44" s="12" t="s">
        <v>429</v>
      </c>
      <c r="D44" s="12" t="s">
        <v>385</v>
      </c>
      <c r="E44" s="12">
        <v>-14.1712</v>
      </c>
      <c r="F44" s="12">
        <v>-169.6692</v>
      </c>
    </row>
    <row r="45" ht="15.75" customHeight="1">
      <c r="A45" s="12" t="s">
        <v>268</v>
      </c>
      <c r="B45" s="12" t="s">
        <v>430</v>
      </c>
      <c r="C45" s="12" t="s">
        <v>431</v>
      </c>
      <c r="D45" s="12" t="s">
        <v>425</v>
      </c>
      <c r="E45" s="12">
        <v>-14.175</v>
      </c>
      <c r="F45" s="12">
        <v>-169.6166</v>
      </c>
    </row>
    <row r="46" ht="15.75" customHeight="1">
      <c r="A46" s="12" t="s">
        <v>168</v>
      </c>
      <c r="B46" s="12" t="s">
        <v>432</v>
      </c>
      <c r="C46" s="12" t="s">
        <v>433</v>
      </c>
      <c r="D46" s="12" t="s">
        <v>396</v>
      </c>
      <c r="E46" s="12">
        <v>-14.2744</v>
      </c>
      <c r="F46" s="12">
        <v>-170.5623</v>
      </c>
    </row>
    <row r="47" ht="15.75" customHeight="1">
      <c r="A47" s="12" t="s">
        <v>296</v>
      </c>
      <c r="B47" s="12" t="s">
        <v>434</v>
      </c>
      <c r="C47" s="12" t="s">
        <v>435</v>
      </c>
      <c r="D47" s="12" t="s">
        <v>403</v>
      </c>
      <c r="E47" s="12">
        <v>-14.2284</v>
      </c>
      <c r="F47" s="12">
        <v>-169.5009</v>
      </c>
    </row>
    <row r="48" ht="15.75" customHeight="1">
      <c r="A48" s="12" t="s">
        <v>202</v>
      </c>
      <c r="B48" s="12" t="s">
        <v>436</v>
      </c>
      <c r="C48" s="12" t="s">
        <v>437</v>
      </c>
      <c r="D48" s="12" t="s">
        <v>379</v>
      </c>
      <c r="E48" s="12">
        <v>-14.3428</v>
      </c>
      <c r="F48" s="12">
        <v>-170.7751</v>
      </c>
    </row>
    <row r="49" ht="15.75" customHeight="1">
      <c r="A49" s="12" t="s">
        <v>80</v>
      </c>
      <c r="B49" s="12" t="s">
        <v>438</v>
      </c>
      <c r="C49" s="12" t="s">
        <v>439</v>
      </c>
      <c r="D49" s="12" t="s">
        <v>382</v>
      </c>
      <c r="E49" s="12">
        <v>-14.3219</v>
      </c>
      <c r="F49" s="12">
        <v>-170.7139</v>
      </c>
    </row>
    <row r="50" ht="15.75" customHeight="1">
      <c r="A50" s="12" t="s">
        <v>127</v>
      </c>
      <c r="B50" s="12" t="s">
        <v>440</v>
      </c>
      <c r="C50" s="12" t="s">
        <v>441</v>
      </c>
      <c r="D50" s="12" t="s">
        <v>376</v>
      </c>
      <c r="E50" s="12">
        <v>-14.2757</v>
      </c>
      <c r="F50" s="12">
        <v>-170.6809</v>
      </c>
    </row>
    <row r="51" ht="15.75" customHeight="1">
      <c r="A51" s="12" t="s">
        <v>170</v>
      </c>
      <c r="B51" s="12" t="s">
        <v>442</v>
      </c>
      <c r="C51" s="12" t="s">
        <v>443</v>
      </c>
      <c r="D51" s="12" t="s">
        <v>396</v>
      </c>
      <c r="E51" s="12">
        <v>-14.2735</v>
      </c>
      <c r="F51" s="12">
        <v>-170.5616</v>
      </c>
    </row>
    <row r="52" ht="15.75" customHeight="1">
      <c r="A52" s="12" t="s">
        <v>128</v>
      </c>
      <c r="B52" s="12" t="s">
        <v>444</v>
      </c>
      <c r="C52" s="12" t="s">
        <v>445</v>
      </c>
      <c r="D52" s="12" t="s">
        <v>376</v>
      </c>
      <c r="E52" s="12">
        <v>-14.2766</v>
      </c>
      <c r="F52" s="12">
        <v>-170.6809</v>
      </c>
    </row>
    <row r="53" ht="15.75" customHeight="1">
      <c r="A53" s="12" t="s">
        <v>81</v>
      </c>
      <c r="B53" s="12" t="s">
        <v>446</v>
      </c>
      <c r="C53" s="12" t="s">
        <v>447</v>
      </c>
      <c r="D53" s="12" t="s">
        <v>382</v>
      </c>
      <c r="E53" s="12">
        <v>-14.3206</v>
      </c>
      <c r="F53" s="12">
        <v>-170.714</v>
      </c>
    </row>
    <row r="54" ht="15.75" customHeight="1">
      <c r="A54" s="12" t="s">
        <v>297</v>
      </c>
      <c r="B54" s="12" t="s">
        <v>448</v>
      </c>
      <c r="C54" s="12" t="s">
        <v>449</v>
      </c>
      <c r="D54" s="12" t="s">
        <v>403</v>
      </c>
      <c r="E54" s="12">
        <v>-14.2287</v>
      </c>
      <c r="F54" s="12">
        <v>-169.5019</v>
      </c>
    </row>
    <row r="55" ht="15.75" customHeight="1">
      <c r="A55" s="12" t="s">
        <v>171</v>
      </c>
      <c r="B55" s="12" t="s">
        <v>450</v>
      </c>
      <c r="C55" s="12" t="s">
        <v>451</v>
      </c>
      <c r="D55" s="12" t="s">
        <v>396</v>
      </c>
      <c r="E55" s="12">
        <v>-14.2735</v>
      </c>
      <c r="F55" s="12">
        <v>-170.5616</v>
      </c>
    </row>
    <row r="56" ht="15.75" customHeight="1">
      <c r="A56" s="12" t="s">
        <v>203</v>
      </c>
      <c r="B56" s="12" t="s">
        <v>452</v>
      </c>
      <c r="C56" s="12" t="s">
        <v>453</v>
      </c>
      <c r="D56" s="12" t="s">
        <v>379</v>
      </c>
      <c r="E56" s="12">
        <v>-14.3431</v>
      </c>
      <c r="F56" s="12">
        <v>-170.7773</v>
      </c>
    </row>
    <row r="57" ht="15.75" customHeight="1">
      <c r="A57" s="12" t="s">
        <v>239</v>
      </c>
      <c r="B57" s="12" t="s">
        <v>454</v>
      </c>
      <c r="C57" s="12" t="s">
        <v>455</v>
      </c>
      <c r="D57" s="12" t="s">
        <v>385</v>
      </c>
      <c r="E57" s="12">
        <v>-14.1725</v>
      </c>
      <c r="F57" s="12">
        <v>-169.67</v>
      </c>
    </row>
    <row r="58" ht="15.75" customHeight="1">
      <c r="A58" s="12" t="s">
        <v>269</v>
      </c>
      <c r="B58" s="12" t="s">
        <v>456</v>
      </c>
      <c r="C58" s="12" t="s">
        <v>457</v>
      </c>
      <c r="D58" s="12" t="s">
        <v>458</v>
      </c>
      <c r="E58" s="12">
        <v>-14.1745</v>
      </c>
      <c r="F58" s="12">
        <v>-169.6171</v>
      </c>
    </row>
    <row r="59" ht="15.75" customHeight="1">
      <c r="A59" s="12" t="s">
        <v>270</v>
      </c>
      <c r="B59" s="12" t="s">
        <v>459</v>
      </c>
      <c r="C59" s="12" t="s">
        <v>460</v>
      </c>
      <c r="D59" s="12" t="s">
        <v>425</v>
      </c>
      <c r="E59" s="12">
        <v>-14.174</v>
      </c>
      <c r="F59" s="12">
        <v>-169.6164</v>
      </c>
    </row>
    <row r="60" ht="15.75" customHeight="1">
      <c r="A60" s="12" t="s">
        <v>83</v>
      </c>
      <c r="B60" s="12" t="s">
        <v>461</v>
      </c>
      <c r="C60" s="12" t="s">
        <v>462</v>
      </c>
      <c r="D60" s="12" t="s">
        <v>382</v>
      </c>
      <c r="E60" s="12">
        <v>-14.3187</v>
      </c>
      <c r="F60" s="12">
        <v>-170.7151</v>
      </c>
    </row>
    <row r="61" ht="15.75" customHeight="1">
      <c r="A61" s="12" t="s">
        <v>204</v>
      </c>
      <c r="B61" s="12" t="s">
        <v>463</v>
      </c>
      <c r="C61" s="12" t="s">
        <v>464</v>
      </c>
      <c r="D61" s="12" t="s">
        <v>379</v>
      </c>
      <c r="E61" s="12">
        <v>-14.3435</v>
      </c>
      <c r="F61" s="12">
        <v>-170.7746</v>
      </c>
    </row>
    <row r="62" ht="15.75" customHeight="1">
      <c r="A62" s="12" t="s">
        <v>129</v>
      </c>
      <c r="B62" s="12" t="s">
        <v>465</v>
      </c>
      <c r="C62" s="12" t="s">
        <v>466</v>
      </c>
      <c r="D62" s="12" t="s">
        <v>376</v>
      </c>
      <c r="E62" s="12">
        <v>-14.2769</v>
      </c>
      <c r="F62" s="12">
        <v>-170.6805</v>
      </c>
    </row>
    <row r="63" ht="15.75" customHeight="1">
      <c r="A63" s="12" t="s">
        <v>172</v>
      </c>
      <c r="B63" s="12" t="s">
        <v>467</v>
      </c>
      <c r="C63" s="12" t="s">
        <v>468</v>
      </c>
      <c r="D63" s="12" t="s">
        <v>396</v>
      </c>
      <c r="E63" s="12">
        <v>-14.2754</v>
      </c>
      <c r="F63" s="12">
        <v>-170.5632</v>
      </c>
    </row>
    <row r="64" ht="15.75" customHeight="1">
      <c r="A64" s="26" t="s">
        <v>298</v>
      </c>
      <c r="B64" s="26" t="s">
        <v>469</v>
      </c>
      <c r="C64" s="26" t="s">
        <v>470</v>
      </c>
      <c r="D64" s="26" t="s">
        <v>403</v>
      </c>
      <c r="E64" s="27">
        <v>-14.2289</v>
      </c>
      <c r="F64" s="27">
        <v>-169.5031</v>
      </c>
    </row>
    <row r="65" ht="15.75" customHeight="1">
      <c r="A65" s="26" t="s">
        <v>272</v>
      </c>
      <c r="B65" s="26" t="s">
        <v>471</v>
      </c>
      <c r="C65" s="26" t="s">
        <v>472</v>
      </c>
      <c r="D65" s="26" t="s">
        <v>425</v>
      </c>
      <c r="E65" s="27">
        <v>-14.1742</v>
      </c>
      <c r="F65" s="27">
        <v>-169.6175</v>
      </c>
    </row>
    <row r="66" ht="15.75" customHeight="1">
      <c r="A66" s="26" t="s">
        <v>240</v>
      </c>
      <c r="B66" s="26" t="s">
        <v>473</v>
      </c>
      <c r="C66" s="26" t="s">
        <v>474</v>
      </c>
      <c r="D66" s="26" t="s">
        <v>385</v>
      </c>
      <c r="E66" s="27">
        <v>-14.1714</v>
      </c>
      <c r="F66" s="27">
        <v>-169.6702</v>
      </c>
    </row>
    <row r="67" ht="15.75" customHeight="1">
      <c r="A67" s="26" t="s">
        <v>206</v>
      </c>
      <c r="B67" s="26" t="s">
        <v>475</v>
      </c>
      <c r="C67" s="26" t="s">
        <v>476</v>
      </c>
      <c r="D67" s="26" t="s">
        <v>379</v>
      </c>
      <c r="E67" s="27">
        <v>-14.3449</v>
      </c>
      <c r="F67" s="27">
        <v>-170.7726</v>
      </c>
    </row>
    <row r="68" ht="15.75" customHeight="1">
      <c r="A68" s="26" t="s">
        <v>130</v>
      </c>
      <c r="B68" s="26" t="s">
        <v>477</v>
      </c>
      <c r="C68" s="26" t="s">
        <v>478</v>
      </c>
      <c r="D68" s="26" t="s">
        <v>376</v>
      </c>
      <c r="E68" s="27">
        <v>-14.2766</v>
      </c>
      <c r="F68" s="27">
        <v>-170.6802</v>
      </c>
    </row>
    <row r="69" ht="15.75" customHeight="1">
      <c r="A69" s="26" t="s">
        <v>173</v>
      </c>
      <c r="B69" s="26" t="s">
        <v>479</v>
      </c>
      <c r="C69" s="26" t="s">
        <v>480</v>
      </c>
      <c r="D69" s="26" t="s">
        <v>396</v>
      </c>
      <c r="E69" s="27">
        <v>-14.2747</v>
      </c>
      <c r="F69" s="27">
        <v>-170.5634</v>
      </c>
    </row>
    <row r="70" ht="15.75" customHeight="1">
      <c r="A70" s="26" t="s">
        <v>84</v>
      </c>
      <c r="B70" s="26" t="s">
        <v>481</v>
      </c>
      <c r="C70" s="26" t="s">
        <v>482</v>
      </c>
      <c r="D70" s="26" t="s">
        <v>382</v>
      </c>
      <c r="E70" s="27">
        <v>-14.3222</v>
      </c>
      <c r="F70" s="27">
        <v>-170.7142</v>
      </c>
    </row>
    <row r="71" ht="15.75" customHeight="1">
      <c r="A71" s="26" t="s">
        <v>299</v>
      </c>
      <c r="B71" s="26" t="s">
        <v>483</v>
      </c>
      <c r="C71" s="26" t="s">
        <v>484</v>
      </c>
      <c r="D71" s="26" t="s">
        <v>403</v>
      </c>
      <c r="E71" s="27">
        <v>-14.2301</v>
      </c>
      <c r="F71" s="27">
        <v>-169.5022</v>
      </c>
    </row>
    <row r="72" ht="15.75" customHeight="1">
      <c r="A72" s="26" t="s">
        <v>242</v>
      </c>
      <c r="B72" s="26" t="s">
        <v>485</v>
      </c>
      <c r="C72" s="26" t="s">
        <v>486</v>
      </c>
      <c r="D72" s="26" t="s">
        <v>385</v>
      </c>
      <c r="E72" s="27">
        <v>-14.1726</v>
      </c>
      <c r="F72" s="27">
        <v>-169.6696</v>
      </c>
    </row>
    <row r="73" ht="15.75" customHeight="1">
      <c r="A73" s="26" t="s">
        <v>207</v>
      </c>
      <c r="B73" s="26" t="s">
        <v>487</v>
      </c>
      <c r="C73" s="26" t="s">
        <v>488</v>
      </c>
      <c r="D73" s="26" t="s">
        <v>379</v>
      </c>
      <c r="E73" s="27">
        <v>-14.3425</v>
      </c>
      <c r="F73" s="27">
        <v>-170.7723</v>
      </c>
    </row>
    <row r="74" ht="15.75" customHeight="1">
      <c r="A74" s="26" t="s">
        <v>131</v>
      </c>
      <c r="B74" s="26" t="s">
        <v>489</v>
      </c>
      <c r="C74" s="26" t="s">
        <v>490</v>
      </c>
      <c r="D74" s="26" t="s">
        <v>376</v>
      </c>
      <c r="E74" s="27">
        <v>-14.2764</v>
      </c>
      <c r="F74" s="27">
        <v>-170.6804</v>
      </c>
    </row>
    <row r="75" ht="15.75" customHeight="1">
      <c r="A75" s="26" t="s">
        <v>85</v>
      </c>
      <c r="B75" s="26" t="s">
        <v>491</v>
      </c>
      <c r="C75" s="26" t="s">
        <v>492</v>
      </c>
      <c r="D75" s="26" t="s">
        <v>382</v>
      </c>
      <c r="E75" s="27">
        <v>-14.322</v>
      </c>
      <c r="F75" s="27">
        <v>-170.7137</v>
      </c>
    </row>
    <row r="76" ht="15.75" customHeight="1">
      <c r="A76" s="26" t="s">
        <v>273</v>
      </c>
      <c r="B76" s="26" t="s">
        <v>493</v>
      </c>
      <c r="C76" s="26" t="s">
        <v>494</v>
      </c>
      <c r="D76" s="26" t="s">
        <v>425</v>
      </c>
      <c r="E76" s="27">
        <v>-14.1745</v>
      </c>
      <c r="F76" s="27">
        <v>-169.6167</v>
      </c>
    </row>
    <row r="77" ht="15.75" customHeight="1">
      <c r="A77" s="26" t="s">
        <v>174</v>
      </c>
      <c r="B77" s="26" t="s">
        <v>495</v>
      </c>
      <c r="C77" s="26" t="s">
        <v>496</v>
      </c>
      <c r="D77" s="26" t="s">
        <v>396</v>
      </c>
      <c r="E77" s="27">
        <v>-14.2748</v>
      </c>
      <c r="F77" s="27">
        <v>-170.5637</v>
      </c>
    </row>
    <row r="78" ht="15.75" customHeight="1">
      <c r="A78" s="26" t="s">
        <v>243</v>
      </c>
      <c r="B78" s="26" t="s">
        <v>497</v>
      </c>
      <c r="C78" s="26" t="s">
        <v>498</v>
      </c>
      <c r="D78" s="26" t="s">
        <v>385</v>
      </c>
      <c r="E78" s="27">
        <v>-14.1726</v>
      </c>
      <c r="F78" s="27">
        <v>-169.6695</v>
      </c>
    </row>
    <row r="79" ht="15.75" customHeight="1">
      <c r="A79" s="26" t="s">
        <v>300</v>
      </c>
      <c r="B79" s="26" t="s">
        <v>499</v>
      </c>
      <c r="C79" s="26" t="s">
        <v>500</v>
      </c>
      <c r="D79" s="26" t="s">
        <v>403</v>
      </c>
      <c r="E79" s="27">
        <v>-14.2298</v>
      </c>
      <c r="F79" s="27">
        <v>-169.5014</v>
      </c>
    </row>
    <row r="80" ht="15.75" customHeight="1">
      <c r="A80" s="26" t="s">
        <v>110</v>
      </c>
      <c r="B80" s="26" t="s">
        <v>501</v>
      </c>
      <c r="C80" s="26" t="s">
        <v>502</v>
      </c>
      <c r="D80" s="26" t="s">
        <v>503</v>
      </c>
      <c r="E80" s="27">
        <v>-14.334</v>
      </c>
      <c r="F80" s="27">
        <v>-170.7424</v>
      </c>
    </row>
    <row r="81" ht="15.75" customHeight="1">
      <c r="A81" s="28" t="s">
        <v>274</v>
      </c>
      <c r="B81" s="26" t="s">
        <v>504</v>
      </c>
      <c r="C81" s="26" t="s">
        <v>505</v>
      </c>
      <c r="D81" s="26" t="s">
        <v>425</v>
      </c>
      <c r="E81" s="27">
        <v>-14.1742</v>
      </c>
      <c r="F81" s="27">
        <v>-169.6165</v>
      </c>
    </row>
    <row r="82" ht="15.75" customHeight="1">
      <c r="A82" s="28" t="s">
        <v>301</v>
      </c>
      <c r="B82" s="26" t="s">
        <v>506</v>
      </c>
      <c r="C82" s="26" t="s">
        <v>507</v>
      </c>
      <c r="D82" s="26" t="s">
        <v>403</v>
      </c>
      <c r="E82" s="27">
        <v>-14.2289</v>
      </c>
      <c r="F82" s="27">
        <v>-169.5024</v>
      </c>
    </row>
    <row r="83" ht="15.75" customHeight="1">
      <c r="A83" s="28" t="s">
        <v>208</v>
      </c>
      <c r="B83" s="26" t="s">
        <v>508</v>
      </c>
      <c r="C83" s="26" t="s">
        <v>509</v>
      </c>
      <c r="D83" s="26" t="s">
        <v>379</v>
      </c>
      <c r="E83" s="27">
        <v>-14.3453</v>
      </c>
      <c r="F83" s="27">
        <v>-170.7712</v>
      </c>
    </row>
    <row r="84" ht="15.75" customHeight="1">
      <c r="A84" s="28" t="s">
        <v>86</v>
      </c>
      <c r="B84" s="26" t="s">
        <v>510</v>
      </c>
      <c r="C84" s="26" t="s">
        <v>511</v>
      </c>
      <c r="D84" s="26" t="s">
        <v>382</v>
      </c>
      <c r="E84" s="27">
        <v>-14.3247</v>
      </c>
      <c r="F84" s="27">
        <v>-170.7133</v>
      </c>
    </row>
    <row r="85" ht="15.75" customHeight="1">
      <c r="A85" s="28" t="s">
        <v>132</v>
      </c>
      <c r="B85" s="26" t="s">
        <v>512</v>
      </c>
      <c r="C85" s="26" t="s">
        <v>513</v>
      </c>
      <c r="D85" s="26" t="s">
        <v>376</v>
      </c>
      <c r="E85" s="27">
        <v>-14.2768</v>
      </c>
      <c r="F85" s="27">
        <v>-170.6811</v>
      </c>
    </row>
    <row r="86" ht="15.75" customHeight="1">
      <c r="A86" s="28" t="s">
        <v>175</v>
      </c>
      <c r="B86" s="26" t="s">
        <v>514</v>
      </c>
      <c r="C86" s="26" t="s">
        <v>515</v>
      </c>
      <c r="D86" s="26" t="s">
        <v>396</v>
      </c>
      <c r="E86" s="27">
        <v>-14.2763</v>
      </c>
      <c r="F86" s="27">
        <v>-170.5638</v>
      </c>
    </row>
    <row r="87" ht="15.75" customHeight="1">
      <c r="A87" s="26" t="s">
        <v>112</v>
      </c>
      <c r="B87" s="26" t="s">
        <v>516</v>
      </c>
      <c r="C87" s="26" t="s">
        <v>517</v>
      </c>
      <c r="D87" s="26" t="s">
        <v>503</v>
      </c>
      <c r="E87" s="27">
        <v>-14.3358</v>
      </c>
      <c r="F87" s="27">
        <v>-170.7425</v>
      </c>
    </row>
    <row r="88" ht="15.75" customHeight="1">
      <c r="A88" s="11" t="s">
        <v>245</v>
      </c>
      <c r="B88" s="26" t="s">
        <v>518</v>
      </c>
      <c r="C88" s="26" t="s">
        <v>519</v>
      </c>
      <c r="D88" s="26" t="s">
        <v>385</v>
      </c>
      <c r="E88" s="27">
        <v>-14.1719</v>
      </c>
      <c r="F88" s="27">
        <v>-169.6681</v>
      </c>
    </row>
    <row r="89" ht="15.75" customHeight="1"/>
    <row r="90" ht="15.75" customHeight="1">
      <c r="A90" s="26" t="s">
        <v>87</v>
      </c>
      <c r="B90" s="26" t="s">
        <v>520</v>
      </c>
      <c r="C90" s="26" t="s">
        <v>521</v>
      </c>
      <c r="D90" s="26" t="s">
        <v>382</v>
      </c>
      <c r="E90" s="27">
        <v>-14.3198</v>
      </c>
      <c r="F90" s="27">
        <v>-170.7157</v>
      </c>
    </row>
    <row r="91" ht="15.75" customHeight="1">
      <c r="A91" s="26" t="s">
        <v>113</v>
      </c>
      <c r="B91" s="26" t="s">
        <v>522</v>
      </c>
      <c r="C91" s="26" t="s">
        <v>523</v>
      </c>
      <c r="D91" s="26" t="s">
        <v>503</v>
      </c>
      <c r="E91" s="27">
        <v>-14.3351</v>
      </c>
      <c r="F91" s="27">
        <v>-170.7455</v>
      </c>
    </row>
    <row r="92" ht="15.75" customHeight="1">
      <c r="A92" s="26" t="s">
        <v>209</v>
      </c>
      <c r="B92" s="26" t="s">
        <v>524</v>
      </c>
      <c r="C92" s="26" t="s">
        <v>525</v>
      </c>
      <c r="D92" s="26" t="s">
        <v>379</v>
      </c>
      <c r="E92" s="27">
        <v>-14.345</v>
      </c>
      <c r="F92" s="27">
        <v>-170.7707</v>
      </c>
    </row>
    <row r="93" ht="15.75" customHeight="1">
      <c r="A93" s="26" t="s">
        <v>176</v>
      </c>
      <c r="B93" s="26" t="s">
        <v>526</v>
      </c>
      <c r="C93" s="26" t="s">
        <v>527</v>
      </c>
      <c r="D93" s="26" t="s">
        <v>396</v>
      </c>
      <c r="E93" s="27">
        <v>-14.2763</v>
      </c>
      <c r="F93" s="27">
        <v>-170.5638</v>
      </c>
    </row>
    <row r="94" ht="15.75" customHeight="1">
      <c r="A94" s="26" t="s">
        <v>133</v>
      </c>
      <c r="B94" s="26" t="s">
        <v>528</v>
      </c>
      <c r="C94" s="26" t="s">
        <v>529</v>
      </c>
      <c r="D94" s="26" t="s">
        <v>376</v>
      </c>
      <c r="E94" s="27">
        <v>-14.2763</v>
      </c>
      <c r="F94" s="27">
        <v>-170.6817</v>
      </c>
    </row>
    <row r="95" ht="15.75" customHeight="1">
      <c r="A95" s="26" t="s">
        <v>114</v>
      </c>
      <c r="B95" s="26" t="s">
        <v>530</v>
      </c>
      <c r="C95" s="26" t="s">
        <v>531</v>
      </c>
      <c r="D95" s="26" t="s">
        <v>503</v>
      </c>
      <c r="E95" s="27">
        <v>-14.3351</v>
      </c>
      <c r="F95" s="27">
        <v>-170.7421</v>
      </c>
    </row>
    <row r="96" ht="15.75" customHeight="1">
      <c r="A96" s="26" t="s">
        <v>88</v>
      </c>
      <c r="B96" s="26" t="s">
        <v>532</v>
      </c>
      <c r="C96" s="26" t="s">
        <v>533</v>
      </c>
      <c r="D96" s="26" t="s">
        <v>382</v>
      </c>
      <c r="E96" s="27">
        <v>-14.3224</v>
      </c>
      <c r="F96" s="27">
        <v>-170.7154</v>
      </c>
    </row>
    <row r="97" ht="15.75" customHeight="1">
      <c r="A97" s="26" t="s">
        <v>177</v>
      </c>
      <c r="B97" s="26" t="s">
        <v>534</v>
      </c>
      <c r="C97" s="26" t="s">
        <v>535</v>
      </c>
      <c r="D97" s="26" t="s">
        <v>396</v>
      </c>
      <c r="E97" s="27">
        <v>-14.2763</v>
      </c>
      <c r="F97" s="27">
        <v>-170.5638</v>
      </c>
    </row>
    <row r="98" ht="15.75" customHeight="1">
      <c r="A98" s="26" t="s">
        <v>210</v>
      </c>
      <c r="B98" s="26" t="s">
        <v>536</v>
      </c>
      <c r="C98" s="26" t="s">
        <v>537</v>
      </c>
      <c r="D98" s="26" t="s">
        <v>379</v>
      </c>
      <c r="E98" s="27">
        <v>-14.3455</v>
      </c>
      <c r="F98" s="27">
        <v>-170.7712</v>
      </c>
    </row>
    <row r="99" ht="15.75" customHeight="1">
      <c r="A99" s="26" t="s">
        <v>302</v>
      </c>
      <c r="B99" s="26" t="s">
        <v>538</v>
      </c>
      <c r="C99" s="26" t="s">
        <v>539</v>
      </c>
      <c r="D99" s="26" t="s">
        <v>403</v>
      </c>
      <c r="E99" s="27">
        <v>-14.2291</v>
      </c>
      <c r="F99" s="27">
        <v>-169.5028</v>
      </c>
    </row>
    <row r="100" ht="15.75" customHeight="1">
      <c r="A100" s="26" t="s">
        <v>134</v>
      </c>
      <c r="B100" s="26" t="s">
        <v>540</v>
      </c>
      <c r="C100" s="26" t="s">
        <v>541</v>
      </c>
      <c r="D100" s="26" t="s">
        <v>376</v>
      </c>
      <c r="E100" s="27">
        <v>-14.2763</v>
      </c>
      <c r="F100" s="27">
        <v>-170.6817</v>
      </c>
    </row>
    <row r="101" ht="15.75" customHeight="1">
      <c r="A101" s="26" t="s">
        <v>304</v>
      </c>
      <c r="B101" s="26" t="s">
        <v>542</v>
      </c>
      <c r="C101" s="26" t="s">
        <v>543</v>
      </c>
      <c r="D101" s="26" t="s">
        <v>403</v>
      </c>
      <c r="E101" s="27">
        <v>-14.2291</v>
      </c>
      <c r="F101" s="27">
        <v>-169.5028</v>
      </c>
    </row>
    <row r="102" ht="15.75" customHeight="1">
      <c r="A102" s="26"/>
      <c r="B102" s="26"/>
      <c r="C102" s="26"/>
    </row>
    <row r="103" ht="15.75" customHeight="1">
      <c r="A103" s="26" t="s">
        <v>306</v>
      </c>
      <c r="B103" s="26" t="s">
        <v>544</v>
      </c>
      <c r="C103" s="26" t="s">
        <v>545</v>
      </c>
      <c r="D103" s="26" t="s">
        <v>403</v>
      </c>
      <c r="E103" s="27">
        <v>-14.2291</v>
      </c>
      <c r="F103" s="27">
        <v>-169.5028</v>
      </c>
    </row>
    <row r="104" ht="15.75" customHeight="1">
      <c r="A104" s="26" t="s">
        <v>91</v>
      </c>
      <c r="B104" s="26" t="s">
        <v>546</v>
      </c>
      <c r="C104" s="26" t="s">
        <v>547</v>
      </c>
      <c r="D104" s="26" t="s">
        <v>382</v>
      </c>
      <c r="E104" s="27">
        <v>-14.3224</v>
      </c>
      <c r="F104" s="27">
        <v>-170.7154</v>
      </c>
    </row>
    <row r="105" ht="15.75" customHeight="1">
      <c r="A105" s="26" t="s">
        <v>90</v>
      </c>
      <c r="B105" s="26" t="s">
        <v>548</v>
      </c>
      <c r="C105" s="26" t="s">
        <v>549</v>
      </c>
      <c r="D105" s="26" t="s">
        <v>382</v>
      </c>
      <c r="E105" s="27">
        <v>-14.3224</v>
      </c>
      <c r="F105" s="27">
        <v>-170.7154</v>
      </c>
    </row>
    <row r="106" ht="15.75" customHeight="1">
      <c r="A106" s="26" t="s">
        <v>135</v>
      </c>
      <c r="B106" s="26" t="s">
        <v>550</v>
      </c>
      <c r="C106" s="26" t="s">
        <v>551</v>
      </c>
      <c r="D106" s="26" t="s">
        <v>376</v>
      </c>
      <c r="E106" s="27">
        <v>-14.2763</v>
      </c>
      <c r="F106" s="27">
        <v>-170.6817</v>
      </c>
    </row>
    <row r="107" ht="15.75" customHeight="1">
      <c r="A107" s="26" t="s">
        <v>211</v>
      </c>
      <c r="B107" s="26" t="s">
        <v>552</v>
      </c>
      <c r="C107" s="26" t="s">
        <v>553</v>
      </c>
      <c r="D107" s="26" t="s">
        <v>379</v>
      </c>
      <c r="E107" s="27">
        <v>-14.3455</v>
      </c>
      <c r="F107" s="27">
        <v>-170.7712</v>
      </c>
    </row>
    <row r="108" ht="15.75" customHeight="1">
      <c r="A108" s="26" t="s">
        <v>246</v>
      </c>
      <c r="B108" s="26" t="s">
        <v>554</v>
      </c>
      <c r="C108" s="26" t="s">
        <v>555</v>
      </c>
      <c r="D108" s="26" t="s">
        <v>385</v>
      </c>
      <c r="E108" s="27">
        <v>-14.1719</v>
      </c>
      <c r="F108" s="27">
        <v>-169.6681</v>
      </c>
    </row>
    <row r="109" ht="15.75" customHeight="1">
      <c r="A109" s="26" t="s">
        <v>276</v>
      </c>
      <c r="B109" s="26" t="s">
        <v>556</v>
      </c>
      <c r="C109" s="26" t="s">
        <v>557</v>
      </c>
      <c r="D109" s="26" t="s">
        <v>425</v>
      </c>
      <c r="E109" s="27">
        <v>-14.1746</v>
      </c>
      <c r="F109" s="27">
        <v>-169.6167</v>
      </c>
    </row>
    <row r="110" ht="15.75" customHeight="1">
      <c r="A110" s="26" t="s">
        <v>179</v>
      </c>
      <c r="B110" s="26" t="s">
        <v>558</v>
      </c>
      <c r="C110" s="26" t="s">
        <v>559</v>
      </c>
      <c r="D110" s="26" t="s">
        <v>396</v>
      </c>
      <c r="E110" s="27">
        <v>-14.2763</v>
      </c>
      <c r="F110" s="27">
        <v>-170.5638</v>
      </c>
    </row>
    <row r="111" ht="15.75" customHeight="1">
      <c r="A111" s="26" t="s">
        <v>137</v>
      </c>
      <c r="B111" s="26" t="s">
        <v>560</v>
      </c>
      <c r="C111" s="26" t="s">
        <v>561</v>
      </c>
      <c r="D111" s="26" t="s">
        <v>376</v>
      </c>
      <c r="E111" s="27">
        <v>-14.2763</v>
      </c>
      <c r="F111" s="27">
        <v>-170.6817</v>
      </c>
    </row>
    <row r="112" ht="15.75" customHeight="1">
      <c r="A112" s="26" t="s">
        <v>247</v>
      </c>
      <c r="B112" s="26" t="s">
        <v>562</v>
      </c>
      <c r="C112" s="26" t="s">
        <v>563</v>
      </c>
      <c r="D112" s="26" t="s">
        <v>385</v>
      </c>
      <c r="E112" s="27">
        <v>-14.1719</v>
      </c>
      <c r="F112" s="27">
        <v>-169.6681</v>
      </c>
    </row>
    <row r="113" ht="15.75" customHeight="1">
      <c r="A113" s="26" t="s">
        <v>92</v>
      </c>
      <c r="B113" s="26" t="s">
        <v>564</v>
      </c>
      <c r="C113" s="26" t="s">
        <v>565</v>
      </c>
      <c r="D113" s="26" t="s">
        <v>382</v>
      </c>
      <c r="E113" s="27">
        <v>-14.3224</v>
      </c>
      <c r="F113" s="27">
        <v>-170.7154</v>
      </c>
    </row>
    <row r="114" ht="15.75" customHeight="1"/>
    <row r="115" ht="15.75" customHeight="1">
      <c r="A115" s="26" t="s">
        <v>115</v>
      </c>
      <c r="B115" s="26" t="s">
        <v>566</v>
      </c>
      <c r="C115" s="26" t="s">
        <v>567</v>
      </c>
      <c r="D115" s="26" t="s">
        <v>503</v>
      </c>
      <c r="E115" s="27">
        <v>-14.3351</v>
      </c>
      <c r="F115" s="27">
        <v>-170.7421</v>
      </c>
    </row>
    <row r="116" ht="15.75" customHeight="1">
      <c r="A116" s="26" t="s">
        <v>93</v>
      </c>
      <c r="B116" s="26" t="s">
        <v>568</v>
      </c>
      <c r="C116" s="26" t="s">
        <v>569</v>
      </c>
      <c r="D116" s="26" t="s">
        <v>382</v>
      </c>
      <c r="E116" s="27">
        <v>-14.3224</v>
      </c>
      <c r="F116" s="27">
        <v>-170.7154</v>
      </c>
    </row>
    <row r="117" ht="15.75" customHeight="1">
      <c r="A117" s="26" t="s">
        <v>213</v>
      </c>
      <c r="B117" s="26" t="s">
        <v>570</v>
      </c>
      <c r="C117" s="26" t="s">
        <v>571</v>
      </c>
      <c r="D117" s="26" t="s">
        <v>379</v>
      </c>
      <c r="E117" s="27">
        <v>-14.3455</v>
      </c>
      <c r="F117" s="27">
        <v>-170.7712</v>
      </c>
    </row>
    <row r="118" ht="15.75" customHeight="1">
      <c r="A118" s="26" t="s">
        <v>307</v>
      </c>
      <c r="B118" s="26" t="s">
        <v>572</v>
      </c>
      <c r="C118" s="26" t="s">
        <v>573</v>
      </c>
      <c r="D118" s="26" t="s">
        <v>574</v>
      </c>
      <c r="E118" s="27">
        <v>-14.2291</v>
      </c>
      <c r="F118" s="27">
        <v>-169.5028</v>
      </c>
    </row>
    <row r="119" ht="15.75" customHeight="1">
      <c r="A119" s="26" t="s">
        <v>138</v>
      </c>
      <c r="B119" s="26" t="s">
        <v>575</v>
      </c>
      <c r="C119" s="26" t="s">
        <v>576</v>
      </c>
      <c r="D119" s="26" t="s">
        <v>376</v>
      </c>
      <c r="E119" s="27">
        <v>-14.2763</v>
      </c>
      <c r="F119" s="27">
        <v>-170.6817</v>
      </c>
    </row>
    <row r="120" ht="15.75" customHeight="1">
      <c r="A120" s="26" t="s">
        <v>248</v>
      </c>
      <c r="B120" s="26" t="s">
        <v>577</v>
      </c>
      <c r="C120" s="26" t="s">
        <v>578</v>
      </c>
      <c r="D120" s="26" t="s">
        <v>579</v>
      </c>
      <c r="E120" s="27">
        <v>-14.1719</v>
      </c>
      <c r="F120" s="27">
        <v>-169.6681</v>
      </c>
    </row>
    <row r="121" ht="15.75" customHeight="1">
      <c r="A121" s="26" t="s">
        <v>249</v>
      </c>
      <c r="B121" s="26" t="s">
        <v>580</v>
      </c>
      <c r="C121" s="26" t="s">
        <v>581</v>
      </c>
      <c r="D121" s="26" t="s">
        <v>582</v>
      </c>
      <c r="E121" s="27">
        <v>-14.1719</v>
      </c>
      <c r="F121" s="27">
        <v>-169.6681</v>
      </c>
    </row>
    <row r="122" ht="15.75" customHeight="1">
      <c r="A122" s="26" t="s">
        <v>96</v>
      </c>
      <c r="B122" s="26" t="s">
        <v>583</v>
      </c>
      <c r="C122" s="26" t="s">
        <v>584</v>
      </c>
      <c r="D122" s="26" t="s">
        <v>585</v>
      </c>
      <c r="E122" s="27">
        <v>-14.3224</v>
      </c>
      <c r="F122" s="27">
        <v>-170.7154</v>
      </c>
    </row>
    <row r="123" ht="15.75" customHeight="1">
      <c r="A123" s="26" t="s">
        <v>94</v>
      </c>
      <c r="B123" s="26" t="s">
        <v>586</v>
      </c>
      <c r="C123" s="26" t="s">
        <v>587</v>
      </c>
      <c r="D123" s="26" t="s">
        <v>588</v>
      </c>
      <c r="E123" s="27">
        <v>-14.3224</v>
      </c>
      <c r="F123" s="27">
        <v>-170.7154</v>
      </c>
    </row>
    <row r="124" ht="15.75" customHeight="1">
      <c r="A124" s="26" t="s">
        <v>309</v>
      </c>
      <c r="B124" s="26" t="s">
        <v>589</v>
      </c>
      <c r="C124" s="26" t="s">
        <v>590</v>
      </c>
      <c r="D124" s="26" t="s">
        <v>403</v>
      </c>
      <c r="E124" s="27">
        <v>-14.2291</v>
      </c>
      <c r="F124" s="27">
        <v>-169.5028</v>
      </c>
    </row>
    <row r="125" ht="15.75" customHeight="1">
      <c r="A125" s="26"/>
      <c r="B125" s="26"/>
      <c r="C125" s="26"/>
      <c r="D125" s="26"/>
      <c r="E125" s="27"/>
      <c r="F125" s="27"/>
    </row>
    <row r="126" ht="15.75" customHeight="1">
      <c r="A126" s="26" t="s">
        <v>116</v>
      </c>
      <c r="B126" s="26" t="s">
        <v>591</v>
      </c>
      <c r="C126" s="26" t="s">
        <v>592</v>
      </c>
      <c r="D126" s="26" t="s">
        <v>382</v>
      </c>
      <c r="E126" s="27">
        <v>-14.3351</v>
      </c>
      <c r="F126" s="27">
        <v>-170.7421</v>
      </c>
    </row>
    <row r="127" ht="15.75" customHeight="1">
      <c r="A127" s="26" t="s">
        <v>215</v>
      </c>
      <c r="B127" s="26" t="s">
        <v>593</v>
      </c>
      <c r="C127" s="26" t="s">
        <v>594</v>
      </c>
      <c r="D127" s="26" t="s">
        <v>379</v>
      </c>
      <c r="E127" s="27">
        <v>-14.3455</v>
      </c>
      <c r="F127" s="27">
        <v>-170.7712</v>
      </c>
    </row>
    <row r="128" ht="15.75" customHeight="1">
      <c r="A128" s="26" t="s">
        <v>117</v>
      </c>
      <c r="B128" s="26" t="s">
        <v>595</v>
      </c>
      <c r="C128" s="26" t="s">
        <v>596</v>
      </c>
      <c r="D128" s="26" t="s">
        <v>503</v>
      </c>
      <c r="E128" s="27">
        <v>-14.3351</v>
      </c>
      <c r="F128" s="27">
        <v>-170.7421</v>
      </c>
    </row>
    <row r="129" ht="15.75" customHeight="1">
      <c r="A129" s="26" t="s">
        <v>139</v>
      </c>
      <c r="B129" s="26" t="s">
        <v>597</v>
      </c>
      <c r="C129" s="26" t="s">
        <v>598</v>
      </c>
      <c r="D129" s="26" t="s">
        <v>376</v>
      </c>
      <c r="E129" s="27">
        <v>-14.2763</v>
      </c>
      <c r="F129" s="27">
        <v>-170.6817</v>
      </c>
    </row>
    <row r="130" ht="15.75" customHeight="1">
      <c r="A130" s="26" t="s">
        <v>180</v>
      </c>
      <c r="B130" s="26" t="s">
        <v>599</v>
      </c>
      <c r="C130" s="26" t="s">
        <v>600</v>
      </c>
      <c r="D130" s="26" t="s">
        <v>396</v>
      </c>
      <c r="E130" s="27">
        <v>-14.2763</v>
      </c>
      <c r="F130" s="27">
        <v>-170.5638</v>
      </c>
    </row>
    <row r="131" ht="15.75" customHeight="1"/>
    <row r="132" ht="15.75" customHeight="1">
      <c r="A132" s="26" t="s">
        <v>277</v>
      </c>
      <c r="B132" s="26" t="s">
        <v>601</v>
      </c>
      <c r="C132" s="26" t="s">
        <v>602</v>
      </c>
      <c r="D132" s="26" t="s">
        <v>603</v>
      </c>
      <c r="E132" s="27">
        <v>-14.1746</v>
      </c>
      <c r="F132" s="27">
        <v>-169.6167</v>
      </c>
    </row>
    <row r="133" ht="15.75" customHeight="1">
      <c r="A133" s="26" t="s">
        <v>251</v>
      </c>
      <c r="B133" s="26" t="s">
        <v>604</v>
      </c>
      <c r="C133" s="26" t="s">
        <v>605</v>
      </c>
      <c r="D133" s="26" t="s">
        <v>385</v>
      </c>
      <c r="E133" s="27">
        <v>-14.1719</v>
      </c>
      <c r="F133" s="27">
        <v>-169.6681</v>
      </c>
    </row>
    <row r="134" ht="15.75" customHeight="1">
      <c r="A134" s="26" t="s">
        <v>278</v>
      </c>
      <c r="B134" s="26" t="s">
        <v>606</v>
      </c>
      <c r="C134" s="26" t="s">
        <v>607</v>
      </c>
      <c r="D134" s="26" t="s">
        <v>608</v>
      </c>
      <c r="E134" s="27">
        <v>-14.1746</v>
      </c>
      <c r="F134" s="27">
        <v>-169.6167</v>
      </c>
    </row>
    <row r="135" ht="15.75" customHeight="1"/>
    <row r="136" ht="15.75" customHeight="1">
      <c r="A136" s="26" t="s">
        <v>181</v>
      </c>
      <c r="B136" s="26" t="s">
        <v>609</v>
      </c>
      <c r="C136" s="26" t="s">
        <v>610</v>
      </c>
      <c r="D136" s="26" t="s">
        <v>611</v>
      </c>
      <c r="E136" s="27">
        <v>-14.2763</v>
      </c>
      <c r="F136" s="27">
        <v>-170.5638</v>
      </c>
    </row>
    <row r="137" ht="15.75" customHeight="1">
      <c r="A137" s="26" t="s">
        <v>182</v>
      </c>
      <c r="B137" s="26" t="s">
        <v>612</v>
      </c>
      <c r="C137" s="26" t="s">
        <v>613</v>
      </c>
      <c r="D137" s="26" t="s">
        <v>614</v>
      </c>
      <c r="E137" s="27">
        <v>-14.2763</v>
      </c>
      <c r="F137" s="27">
        <v>-170.5638</v>
      </c>
    </row>
    <row r="138" ht="15.75" customHeight="1">
      <c r="A138" s="26" t="s">
        <v>140</v>
      </c>
      <c r="B138" s="26" t="s">
        <v>615</v>
      </c>
      <c r="C138" s="26" t="s">
        <v>616</v>
      </c>
      <c r="D138" s="26" t="s">
        <v>617</v>
      </c>
      <c r="E138" s="27">
        <v>-14.2763</v>
      </c>
      <c r="F138" s="27">
        <v>-170.6817</v>
      </c>
    </row>
    <row r="139" ht="15.75" customHeight="1">
      <c r="A139" s="26" t="s">
        <v>141</v>
      </c>
      <c r="B139" s="26" t="s">
        <v>618</v>
      </c>
      <c r="C139" s="26" t="s">
        <v>619</v>
      </c>
      <c r="D139" s="26" t="s">
        <v>620</v>
      </c>
      <c r="E139" s="27">
        <v>-14.2763</v>
      </c>
      <c r="F139" s="27">
        <v>-170.6817</v>
      </c>
    </row>
    <row r="140" ht="15.75" customHeight="1">
      <c r="A140" s="26" t="s">
        <v>216</v>
      </c>
      <c r="B140" s="26" t="s">
        <v>621</v>
      </c>
      <c r="C140" s="26" t="s">
        <v>622</v>
      </c>
      <c r="D140" s="26" t="s">
        <v>623</v>
      </c>
      <c r="E140" s="27">
        <v>-14.3455</v>
      </c>
      <c r="F140" s="27">
        <v>-170.7712</v>
      </c>
    </row>
    <row r="141" ht="15.75" customHeight="1">
      <c r="A141" s="26" t="s">
        <v>218</v>
      </c>
      <c r="B141" s="26" t="s">
        <v>624</v>
      </c>
      <c r="C141" s="26" t="s">
        <v>625</v>
      </c>
      <c r="D141" s="26" t="s">
        <v>626</v>
      </c>
      <c r="E141" s="27">
        <v>-14.3455</v>
      </c>
      <c r="F141" s="27">
        <v>-170.7712</v>
      </c>
    </row>
    <row r="142" ht="15.75" customHeight="1">
      <c r="A142" s="26" t="s">
        <v>253</v>
      </c>
      <c r="B142" s="26" t="s">
        <v>627</v>
      </c>
      <c r="C142" s="26" t="s">
        <v>628</v>
      </c>
      <c r="D142" s="26" t="s">
        <v>385</v>
      </c>
      <c r="E142" s="27">
        <v>-14.1719</v>
      </c>
      <c r="F142" s="27">
        <v>-169.6681</v>
      </c>
    </row>
    <row r="143" ht="15.75" customHeight="1">
      <c r="A143" s="26" t="s">
        <v>311</v>
      </c>
      <c r="B143" s="26" t="s">
        <v>629</v>
      </c>
      <c r="C143" s="26" t="s">
        <v>630</v>
      </c>
      <c r="D143" s="26" t="s">
        <v>403</v>
      </c>
      <c r="E143" s="27">
        <v>-14.2291</v>
      </c>
      <c r="F143" s="27">
        <v>-169.5028</v>
      </c>
    </row>
    <row r="144" ht="15.75" customHeight="1">
      <c r="A144" s="28" t="s">
        <v>279</v>
      </c>
      <c r="B144" s="26" t="s">
        <v>631</v>
      </c>
      <c r="C144" s="26" t="s">
        <v>632</v>
      </c>
      <c r="D144" s="26" t="s">
        <v>425</v>
      </c>
      <c r="E144" s="27">
        <v>-14.1746</v>
      </c>
      <c r="F144" s="27">
        <v>-169.6167</v>
      </c>
    </row>
    <row r="145" ht="15.75" customHeight="1">
      <c r="A145" s="26" t="s">
        <v>98</v>
      </c>
      <c r="B145" s="26" t="s">
        <v>633</v>
      </c>
      <c r="C145" s="26" t="s">
        <v>634</v>
      </c>
      <c r="D145" s="26" t="s">
        <v>382</v>
      </c>
      <c r="E145" s="27">
        <v>-14.3224</v>
      </c>
      <c r="F145" s="27">
        <v>-170.7154</v>
      </c>
    </row>
    <row r="146" ht="15.75" customHeight="1">
      <c r="A146" s="26" t="s">
        <v>143</v>
      </c>
      <c r="B146" s="26" t="s">
        <v>635</v>
      </c>
      <c r="C146" s="26" t="s">
        <v>636</v>
      </c>
      <c r="D146" s="26" t="s">
        <v>637</v>
      </c>
      <c r="E146" s="27">
        <v>-14.2763</v>
      </c>
      <c r="F146" s="27">
        <v>-170.6817</v>
      </c>
    </row>
    <row r="147" ht="15.75" customHeight="1">
      <c r="A147" s="26" t="s">
        <v>144</v>
      </c>
      <c r="B147" s="26" t="s">
        <v>638</v>
      </c>
      <c r="C147" s="26" t="s">
        <v>639</v>
      </c>
      <c r="D147" s="26" t="s">
        <v>640</v>
      </c>
      <c r="E147" s="27">
        <v>-14.2763</v>
      </c>
      <c r="F147" s="27">
        <v>-170.6817</v>
      </c>
    </row>
    <row r="148" ht="15.75" customHeight="1">
      <c r="A148" s="26" t="s">
        <v>183</v>
      </c>
      <c r="B148" s="26" t="s">
        <v>641</v>
      </c>
      <c r="C148" s="26" t="s">
        <v>642</v>
      </c>
      <c r="D148" s="26" t="s">
        <v>396</v>
      </c>
      <c r="E148" s="27">
        <v>-14.2763</v>
      </c>
      <c r="F148" s="27">
        <v>-170.5638</v>
      </c>
    </row>
    <row r="149" ht="15.75" customHeight="1">
      <c r="A149" s="26" t="s">
        <v>145</v>
      </c>
      <c r="B149" s="26" t="s">
        <v>643</v>
      </c>
      <c r="C149" s="26" t="s">
        <v>644</v>
      </c>
      <c r="D149" s="26" t="s">
        <v>376</v>
      </c>
      <c r="E149" s="27">
        <v>-14.2763</v>
      </c>
      <c r="F149" s="27">
        <v>-170.6817</v>
      </c>
    </row>
    <row r="150" ht="15.75" customHeight="1">
      <c r="A150" s="26" t="s">
        <v>100</v>
      </c>
      <c r="B150" s="26" t="s">
        <v>645</v>
      </c>
      <c r="C150" s="26" t="s">
        <v>646</v>
      </c>
      <c r="D150" s="26" t="s">
        <v>382</v>
      </c>
      <c r="E150" s="27">
        <v>-14.3224</v>
      </c>
      <c r="F150" s="27">
        <v>-170.7154</v>
      </c>
    </row>
    <row r="151" ht="15.75" customHeight="1">
      <c r="A151" s="26" t="s">
        <v>255</v>
      </c>
      <c r="B151" s="26" t="s">
        <v>647</v>
      </c>
      <c r="C151" s="26" t="s">
        <v>648</v>
      </c>
      <c r="D151" s="26" t="s">
        <v>649</v>
      </c>
      <c r="E151" s="27">
        <v>-14.1719</v>
      </c>
      <c r="F151" s="27">
        <v>-169.6681</v>
      </c>
    </row>
    <row r="152" ht="15.75" customHeight="1">
      <c r="A152" s="26" t="s">
        <v>256</v>
      </c>
      <c r="B152" s="26" t="s">
        <v>650</v>
      </c>
      <c r="C152" s="26" t="s">
        <v>651</v>
      </c>
      <c r="D152" s="26" t="s">
        <v>652</v>
      </c>
      <c r="E152" s="27">
        <v>-14.1719</v>
      </c>
      <c r="F152" s="27">
        <v>-169.6681</v>
      </c>
    </row>
    <row r="153" ht="15.75" customHeight="1">
      <c r="A153" s="26" t="s">
        <v>118</v>
      </c>
      <c r="B153" s="26" t="s">
        <v>653</v>
      </c>
      <c r="C153" s="26" t="s">
        <v>654</v>
      </c>
      <c r="D153" s="26" t="s">
        <v>503</v>
      </c>
      <c r="E153" s="27">
        <v>-14.3351</v>
      </c>
      <c r="F153" s="27">
        <v>-170.7421</v>
      </c>
    </row>
    <row r="154" ht="15.75" customHeight="1">
      <c r="A154" s="26" t="s">
        <v>252</v>
      </c>
      <c r="B154" s="26" t="s">
        <v>655</v>
      </c>
      <c r="C154" s="26" t="s">
        <v>656</v>
      </c>
      <c r="D154" s="26" t="s">
        <v>385</v>
      </c>
      <c r="E154" s="27">
        <v>-14.1719</v>
      </c>
      <c r="F154" s="27">
        <v>-169.6681</v>
      </c>
    </row>
    <row r="155" ht="15.75" customHeight="1"/>
    <row r="156" ht="15.75" customHeight="1">
      <c r="A156" s="26" t="s">
        <v>147</v>
      </c>
      <c r="B156" s="26" t="s">
        <v>657</v>
      </c>
      <c r="C156" s="26" t="s">
        <v>658</v>
      </c>
      <c r="D156" s="26" t="s">
        <v>376</v>
      </c>
      <c r="E156" s="27">
        <v>-14.2763</v>
      </c>
      <c r="F156" s="27">
        <v>-170.6817</v>
      </c>
    </row>
    <row r="157" ht="15.75" customHeight="1">
      <c r="A157" s="26" t="s">
        <v>101</v>
      </c>
      <c r="B157" s="26" t="s">
        <v>659</v>
      </c>
      <c r="C157" s="26" t="s">
        <v>660</v>
      </c>
      <c r="D157" s="26" t="s">
        <v>382</v>
      </c>
      <c r="E157" s="27">
        <v>-14.3224</v>
      </c>
      <c r="F157" s="27">
        <v>-170.7154</v>
      </c>
    </row>
    <row r="158" ht="15.75" customHeight="1">
      <c r="A158" s="26" t="s">
        <v>186</v>
      </c>
      <c r="B158" s="26" t="s">
        <v>661</v>
      </c>
      <c r="C158" s="26" t="s">
        <v>662</v>
      </c>
      <c r="D158" s="26" t="s">
        <v>663</v>
      </c>
      <c r="E158" s="27">
        <v>-14.2763</v>
      </c>
      <c r="F158" s="27">
        <v>-170.5638</v>
      </c>
    </row>
    <row r="159" ht="15.75" customHeight="1">
      <c r="A159" s="26" t="s">
        <v>220</v>
      </c>
      <c r="B159" s="26" t="s">
        <v>664</v>
      </c>
      <c r="C159" s="26" t="s">
        <v>665</v>
      </c>
      <c r="D159" s="26" t="s">
        <v>666</v>
      </c>
      <c r="E159" s="27">
        <v>-14.3455</v>
      </c>
      <c r="F159" s="27">
        <v>-170.7712</v>
      </c>
    </row>
    <row r="160" ht="15.75" customHeight="1">
      <c r="A160" s="26" t="s">
        <v>185</v>
      </c>
      <c r="B160" s="26" t="s">
        <v>667</v>
      </c>
      <c r="C160" s="26" t="s">
        <v>668</v>
      </c>
      <c r="D160" s="26" t="s">
        <v>669</v>
      </c>
      <c r="E160" s="27">
        <v>-14.2763</v>
      </c>
      <c r="F160" s="27">
        <v>-170.5638</v>
      </c>
    </row>
    <row r="161" ht="15.75" customHeight="1">
      <c r="A161" s="26" t="s">
        <v>219</v>
      </c>
      <c r="B161" s="26" t="s">
        <v>670</v>
      </c>
      <c r="C161" s="26" t="s">
        <v>671</v>
      </c>
      <c r="D161" s="26" t="s">
        <v>672</v>
      </c>
      <c r="E161" s="27">
        <v>-14.3455</v>
      </c>
      <c r="F161" s="27">
        <v>-170.7712</v>
      </c>
    </row>
    <row r="162" ht="15.75" customHeight="1"/>
    <row r="163" ht="15.75" customHeight="1">
      <c r="A163" s="26" t="s">
        <v>149</v>
      </c>
      <c r="B163" s="26" t="s">
        <v>673</v>
      </c>
      <c r="C163" s="26" t="s">
        <v>674</v>
      </c>
      <c r="D163" s="26" t="s">
        <v>376</v>
      </c>
      <c r="E163" s="27">
        <v>-14.2763</v>
      </c>
      <c r="F163" s="27">
        <v>-170.6817</v>
      </c>
    </row>
    <row r="164" ht="15.75" customHeight="1">
      <c r="A164" s="26" t="s">
        <v>280</v>
      </c>
      <c r="B164" s="26" t="s">
        <v>675</v>
      </c>
      <c r="C164" s="26" t="s">
        <v>676</v>
      </c>
      <c r="D164" s="26" t="s">
        <v>677</v>
      </c>
      <c r="E164" s="27">
        <v>-14.1746</v>
      </c>
      <c r="F164" s="27">
        <v>-169.6167</v>
      </c>
    </row>
    <row r="165" ht="15.75" customHeight="1">
      <c r="A165" s="26" t="s">
        <v>281</v>
      </c>
      <c r="B165" s="26" t="s">
        <v>678</v>
      </c>
      <c r="C165" s="26" t="s">
        <v>679</v>
      </c>
      <c r="D165" s="26" t="s">
        <v>680</v>
      </c>
      <c r="E165" s="27">
        <v>-14.1746</v>
      </c>
      <c r="F165" s="27">
        <v>-169.6167</v>
      </c>
    </row>
    <row r="166" ht="15.75" customHeight="1">
      <c r="A166" s="26" t="s">
        <v>312</v>
      </c>
      <c r="B166" s="26" t="s">
        <v>681</v>
      </c>
      <c r="C166" s="26" t="s">
        <v>682</v>
      </c>
      <c r="D166" s="26" t="s">
        <v>683</v>
      </c>
      <c r="E166" s="27">
        <v>-14.2291</v>
      </c>
      <c r="F166" s="27">
        <v>-169.5028</v>
      </c>
    </row>
    <row r="167" ht="15.75" customHeight="1">
      <c r="A167" s="26" t="s">
        <v>313</v>
      </c>
      <c r="B167" s="26" t="s">
        <v>684</v>
      </c>
      <c r="C167" s="26" t="s">
        <v>685</v>
      </c>
      <c r="D167" s="26" t="s">
        <v>686</v>
      </c>
      <c r="E167" s="27">
        <v>-14.2291</v>
      </c>
      <c r="F167" s="27">
        <v>-169.5028</v>
      </c>
    </row>
    <row r="168" ht="15.75" customHeight="1">
      <c r="A168" s="26" t="s">
        <v>257</v>
      </c>
      <c r="B168" s="26" t="s">
        <v>687</v>
      </c>
      <c r="C168" s="26" t="s">
        <v>688</v>
      </c>
      <c r="D168" s="26" t="s">
        <v>689</v>
      </c>
      <c r="E168" s="27">
        <v>-14.1719</v>
      </c>
      <c r="F168" s="27">
        <v>-169.6681</v>
      </c>
    </row>
    <row r="169" ht="15.75" customHeight="1"/>
    <row r="170" ht="15.75" customHeight="1">
      <c r="A170" s="26" t="s">
        <v>315</v>
      </c>
      <c r="B170" s="26" t="s">
        <v>690</v>
      </c>
      <c r="C170" s="26" t="s">
        <v>691</v>
      </c>
      <c r="D170" s="26" t="s">
        <v>683</v>
      </c>
      <c r="E170" s="27">
        <v>-14.2291</v>
      </c>
      <c r="F170" s="27">
        <v>-169.5028</v>
      </c>
    </row>
    <row r="171" ht="15.75" customHeight="1">
      <c r="A171" s="26" t="s">
        <v>316</v>
      </c>
      <c r="B171" s="26" t="s">
        <v>692</v>
      </c>
      <c r="C171" s="26" t="s">
        <v>693</v>
      </c>
      <c r="D171" s="26" t="s">
        <v>686</v>
      </c>
      <c r="E171" s="27">
        <v>-14.2291</v>
      </c>
      <c r="F171" s="27">
        <v>-169.5028</v>
      </c>
    </row>
    <row r="172" ht="15.75" customHeight="1">
      <c r="A172" s="26" t="s">
        <v>283</v>
      </c>
      <c r="B172" s="26" t="s">
        <v>694</v>
      </c>
      <c r="C172" s="26" t="s">
        <v>695</v>
      </c>
      <c r="D172" s="26" t="s">
        <v>425</v>
      </c>
      <c r="E172" s="27">
        <v>-14.1746</v>
      </c>
      <c r="F172" s="27">
        <v>-169.6167</v>
      </c>
    </row>
    <row r="173" ht="15.75" customHeight="1"/>
    <row r="174" ht="15.75" customHeight="1">
      <c r="A174" s="26" t="s">
        <v>258</v>
      </c>
      <c r="B174" s="26" t="s">
        <v>696</v>
      </c>
      <c r="C174" s="26" t="s">
        <v>697</v>
      </c>
      <c r="D174" s="26" t="s">
        <v>385</v>
      </c>
      <c r="E174" s="27">
        <v>-14.1719</v>
      </c>
      <c r="F174" s="27">
        <v>-169.6681</v>
      </c>
    </row>
    <row r="175" ht="15.75" customHeight="1">
      <c r="A175" s="26" t="s">
        <v>285</v>
      </c>
      <c r="B175" s="26" t="s">
        <v>698</v>
      </c>
      <c r="C175" s="26" t="s">
        <v>699</v>
      </c>
      <c r="D175" s="26" t="s">
        <v>425</v>
      </c>
      <c r="E175" s="27">
        <v>-14.1746</v>
      </c>
      <c r="F175" s="27">
        <v>-169.6167</v>
      </c>
    </row>
    <row r="176" ht="15.75" customHeight="1"/>
    <row r="177" ht="15.75" customHeight="1">
      <c r="A177" s="26" t="s">
        <v>150</v>
      </c>
      <c r="B177" s="26" t="s">
        <v>700</v>
      </c>
      <c r="C177" s="26" t="s">
        <v>701</v>
      </c>
      <c r="D177" s="26" t="s">
        <v>376</v>
      </c>
      <c r="E177" s="27">
        <v>-14.2763</v>
      </c>
      <c r="F177" s="27">
        <v>-170.6817</v>
      </c>
    </row>
    <row r="178" ht="15.75" customHeight="1">
      <c r="A178" s="26" t="s">
        <v>102</v>
      </c>
      <c r="B178" s="26" t="s">
        <v>702</v>
      </c>
      <c r="C178" s="26" t="s">
        <v>703</v>
      </c>
      <c r="D178" s="26" t="s">
        <v>382</v>
      </c>
      <c r="E178" s="27">
        <v>-14.3224</v>
      </c>
      <c r="F178" s="27">
        <v>-170.7154</v>
      </c>
    </row>
    <row r="179" ht="15.75" customHeight="1"/>
    <row r="180" ht="15.75" customHeight="1">
      <c r="A180" s="26" t="s">
        <v>260</v>
      </c>
      <c r="B180" s="26" t="s">
        <v>704</v>
      </c>
      <c r="C180" s="26" t="s">
        <v>705</v>
      </c>
      <c r="D180" s="26" t="s">
        <v>579</v>
      </c>
      <c r="E180" s="27">
        <v>-14.1719</v>
      </c>
      <c r="F180" s="27">
        <v>-169.6681</v>
      </c>
    </row>
    <row r="181" ht="15.75" customHeight="1">
      <c r="A181" s="26" t="s">
        <v>151</v>
      </c>
      <c r="B181" s="26" t="s">
        <v>706</v>
      </c>
      <c r="C181" s="26" t="s">
        <v>707</v>
      </c>
      <c r="D181" s="26" t="s">
        <v>376</v>
      </c>
      <c r="E181" s="27">
        <v>-14.2763</v>
      </c>
      <c r="F181" s="27">
        <v>-170.6817</v>
      </c>
    </row>
    <row r="182" ht="15.75" customHeight="1">
      <c r="A182" s="26" t="s">
        <v>187</v>
      </c>
      <c r="B182" s="26" t="s">
        <v>708</v>
      </c>
      <c r="C182" s="26" t="s">
        <v>709</v>
      </c>
      <c r="D182" s="26" t="s">
        <v>710</v>
      </c>
      <c r="E182" s="27">
        <v>-14.2763</v>
      </c>
      <c r="F182" s="27">
        <v>-170.5638</v>
      </c>
    </row>
    <row r="183" ht="15.75" customHeight="1">
      <c r="A183" s="26" t="s">
        <v>188</v>
      </c>
      <c r="B183" s="26" t="s">
        <v>711</v>
      </c>
      <c r="C183" s="26" t="s">
        <v>712</v>
      </c>
      <c r="D183" s="26" t="s">
        <v>614</v>
      </c>
      <c r="E183" s="27">
        <v>-14.2763</v>
      </c>
      <c r="F183" s="27">
        <v>-170.5638</v>
      </c>
    </row>
    <row r="184" ht="15.75" customHeight="1">
      <c r="A184" s="26" t="s">
        <v>262</v>
      </c>
      <c r="B184" s="26" t="s">
        <v>713</v>
      </c>
      <c r="C184" s="26" t="s">
        <v>714</v>
      </c>
      <c r="D184" s="26" t="s">
        <v>582</v>
      </c>
      <c r="E184" s="27">
        <v>-14.1719</v>
      </c>
      <c r="F184" s="27">
        <v>-169.6681</v>
      </c>
    </row>
    <row r="185" ht="15.75" customHeight="1">
      <c r="A185" s="26" t="s">
        <v>221</v>
      </c>
      <c r="B185" s="26" t="s">
        <v>715</v>
      </c>
      <c r="C185" s="26" t="s">
        <v>716</v>
      </c>
      <c r="D185" s="26" t="s">
        <v>379</v>
      </c>
      <c r="E185" s="27">
        <v>-14.3455</v>
      </c>
      <c r="F185" s="27">
        <v>-170.7712</v>
      </c>
    </row>
    <row r="186" ht="15.75" customHeight="1">
      <c r="A186" s="26" t="s">
        <v>189</v>
      </c>
      <c r="B186" s="26" t="s">
        <v>717</v>
      </c>
      <c r="C186" s="26" t="s">
        <v>718</v>
      </c>
      <c r="D186" s="26" t="s">
        <v>396</v>
      </c>
      <c r="E186" s="27">
        <v>-14.2763</v>
      </c>
      <c r="F186" s="27">
        <v>-170.5638</v>
      </c>
    </row>
    <row r="187" ht="15.75" customHeight="1">
      <c r="A187" s="26" t="s">
        <v>153</v>
      </c>
      <c r="B187" s="26" t="s">
        <v>719</v>
      </c>
      <c r="C187" s="26" t="s">
        <v>720</v>
      </c>
      <c r="D187" s="26" t="s">
        <v>617</v>
      </c>
      <c r="E187" s="27">
        <v>-14.2763</v>
      </c>
      <c r="F187" s="27">
        <v>-170.6817</v>
      </c>
    </row>
    <row r="188" ht="15.75" customHeight="1">
      <c r="A188" s="26" t="s">
        <v>223</v>
      </c>
      <c r="B188" s="26" t="s">
        <v>721</v>
      </c>
      <c r="C188" s="26" t="s">
        <v>722</v>
      </c>
      <c r="D188" s="26" t="s">
        <v>379</v>
      </c>
      <c r="E188" s="27">
        <v>-14.3455</v>
      </c>
      <c r="F188" s="27">
        <v>-170.7712</v>
      </c>
    </row>
    <row r="189" ht="15.75" customHeight="1">
      <c r="A189" s="26" t="s">
        <v>154</v>
      </c>
      <c r="B189" s="26" t="s">
        <v>723</v>
      </c>
      <c r="C189" s="26" t="s">
        <v>724</v>
      </c>
      <c r="D189" s="26" t="s">
        <v>376</v>
      </c>
      <c r="E189" s="27">
        <v>-14.2763</v>
      </c>
      <c r="F189" s="27">
        <v>-170.6817</v>
      </c>
    </row>
    <row r="190" ht="15.75" customHeight="1"/>
    <row r="191" ht="15.75" customHeight="1">
      <c r="A191" s="26" t="s">
        <v>103</v>
      </c>
      <c r="B191" s="26" t="s">
        <v>725</v>
      </c>
      <c r="C191" s="26" t="s">
        <v>726</v>
      </c>
      <c r="D191" s="26" t="s">
        <v>382</v>
      </c>
      <c r="E191" s="27">
        <v>-14.3224</v>
      </c>
      <c r="F191" s="27">
        <v>-170.7154</v>
      </c>
    </row>
    <row r="192" ht="15.75" customHeight="1">
      <c r="A192" s="26" t="s">
        <v>263</v>
      </c>
      <c r="B192" s="26" t="s">
        <v>727</v>
      </c>
      <c r="C192" s="26" t="s">
        <v>728</v>
      </c>
      <c r="D192" s="26" t="s">
        <v>729</v>
      </c>
      <c r="E192" s="27">
        <v>-14.1719</v>
      </c>
      <c r="F192" s="27">
        <v>-169.6681</v>
      </c>
    </row>
    <row r="193" ht="15.75" customHeight="1">
      <c r="A193" s="26" t="s">
        <v>190</v>
      </c>
      <c r="B193" s="26" t="s">
        <v>730</v>
      </c>
      <c r="C193" s="26" t="s">
        <v>731</v>
      </c>
      <c r="D193" s="26" t="s">
        <v>396</v>
      </c>
      <c r="E193" s="27">
        <v>-14.2763</v>
      </c>
      <c r="F193" s="27">
        <v>-170.5638</v>
      </c>
    </row>
    <row r="194" ht="15.75" customHeight="1">
      <c r="A194" s="26" t="s">
        <v>225</v>
      </c>
      <c r="B194" s="26" t="s">
        <v>732</v>
      </c>
      <c r="C194" s="26" t="s">
        <v>733</v>
      </c>
      <c r="D194" s="26" t="s">
        <v>379</v>
      </c>
      <c r="E194" s="27">
        <v>-14.3455</v>
      </c>
      <c r="F194" s="27">
        <v>-170.7712</v>
      </c>
    </row>
    <row r="195" ht="15.75" customHeight="1">
      <c r="A195" s="26" t="s">
        <v>155</v>
      </c>
      <c r="B195" s="26" t="s">
        <v>734</v>
      </c>
      <c r="C195" s="26" t="s">
        <v>735</v>
      </c>
      <c r="D195" s="26" t="s">
        <v>376</v>
      </c>
      <c r="E195" s="27">
        <v>-14.2763</v>
      </c>
      <c r="F195" s="27">
        <v>-170.6817</v>
      </c>
    </row>
    <row r="196" ht="15.75" customHeight="1">
      <c r="A196" s="26" t="s">
        <v>119</v>
      </c>
      <c r="B196" s="26" t="s">
        <v>736</v>
      </c>
      <c r="C196" s="26" t="s">
        <v>737</v>
      </c>
      <c r="D196" s="26" t="s">
        <v>503</v>
      </c>
      <c r="E196" s="27">
        <v>-14.3351</v>
      </c>
      <c r="F196" s="27">
        <v>-170.7421</v>
      </c>
    </row>
    <row r="197" ht="15.75" customHeight="1">
      <c r="A197" s="26" t="s">
        <v>105</v>
      </c>
      <c r="B197" s="26" t="s">
        <v>738</v>
      </c>
      <c r="C197" s="26" t="s">
        <v>739</v>
      </c>
      <c r="D197" s="26" t="s">
        <v>585</v>
      </c>
      <c r="E197" s="27">
        <v>-14.3224</v>
      </c>
      <c r="F197" s="27">
        <v>-170.7154</v>
      </c>
    </row>
    <row r="198" ht="15.75" customHeight="1">
      <c r="A198" s="26" t="s">
        <v>191</v>
      </c>
      <c r="B198" s="26" t="s">
        <v>740</v>
      </c>
      <c r="C198" s="26" t="s">
        <v>741</v>
      </c>
      <c r="D198" s="26" t="s">
        <v>611</v>
      </c>
      <c r="E198" s="27">
        <v>-14.2763</v>
      </c>
      <c r="F198" s="27">
        <v>-170.5638</v>
      </c>
    </row>
    <row r="199" ht="15.75" customHeight="1">
      <c r="A199" s="26" t="s">
        <v>192</v>
      </c>
      <c r="B199" s="26" t="s">
        <v>742</v>
      </c>
      <c r="C199" s="26" t="s">
        <v>743</v>
      </c>
      <c r="D199" s="26" t="s">
        <v>614</v>
      </c>
      <c r="E199" s="27">
        <v>-14.2763</v>
      </c>
      <c r="F199" s="27">
        <v>-170.5638</v>
      </c>
    </row>
    <row r="200" ht="15.75" customHeight="1">
      <c r="A200" s="26" t="s">
        <v>264</v>
      </c>
      <c r="B200" s="26" t="s">
        <v>744</v>
      </c>
      <c r="C200" s="26" t="s">
        <v>745</v>
      </c>
      <c r="D200" s="26" t="s">
        <v>385</v>
      </c>
      <c r="E200" s="27">
        <v>-14.1719</v>
      </c>
      <c r="F200" s="27">
        <v>-169.6681</v>
      </c>
    </row>
    <row r="201" ht="15.75" customHeight="1">
      <c r="A201" s="26"/>
      <c r="B201" s="26"/>
      <c r="C201" s="26"/>
    </row>
    <row r="202" ht="15.75" customHeight="1">
      <c r="A202" s="26" t="s">
        <v>107</v>
      </c>
      <c r="B202" s="26" t="s">
        <v>746</v>
      </c>
      <c r="C202" s="26" t="s">
        <v>747</v>
      </c>
      <c r="D202" s="26" t="s">
        <v>588</v>
      </c>
      <c r="E202" s="27">
        <v>-14.3224</v>
      </c>
      <c r="F202" s="27">
        <v>-170.7154</v>
      </c>
    </row>
    <row r="203" ht="15.75" customHeight="1"/>
    <row r="204" ht="15.75" customHeight="1">
      <c r="A204" s="26" t="s">
        <v>265</v>
      </c>
      <c r="B204" s="26" t="s">
        <v>748</v>
      </c>
      <c r="C204" s="26" t="s">
        <v>749</v>
      </c>
      <c r="D204" s="26" t="s">
        <v>385</v>
      </c>
      <c r="E204" s="27">
        <v>-14.1719</v>
      </c>
      <c r="F204" s="27">
        <v>-169.6681</v>
      </c>
    </row>
    <row r="205" ht="15.75" customHeight="1">
      <c r="A205" s="26" t="s">
        <v>157</v>
      </c>
      <c r="B205" s="26" t="s">
        <v>750</v>
      </c>
      <c r="C205" s="26" t="s">
        <v>751</v>
      </c>
      <c r="D205" s="26" t="s">
        <v>376</v>
      </c>
      <c r="E205" s="27">
        <v>-14.2763</v>
      </c>
      <c r="F205" s="27">
        <v>-170.6817</v>
      </c>
    </row>
    <row r="206" ht="15.75" customHeight="1">
      <c r="A206" s="26" t="s">
        <v>193</v>
      </c>
      <c r="B206" s="26" t="s">
        <v>752</v>
      </c>
      <c r="C206" s="26" t="s">
        <v>753</v>
      </c>
      <c r="D206" s="26" t="s">
        <v>396</v>
      </c>
      <c r="E206" s="27">
        <v>-14.2763</v>
      </c>
      <c r="F206" s="27">
        <v>-170.5638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2025-01-20T20:54:12Z</dcterms:created>
</cp:coreProperties>
</file>